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Shared\VKP-AEC\Project-Omega\Functions v1.0\VBA (Excel)\"/>
    </mc:Choice>
  </mc:AlternateContent>
  <xr:revisionPtr revIDLastSave="0" documentId="13_ncr:1_{40BE3AC6-2E86-4451-BD7F-7B4538324C95}" xr6:coauthVersionLast="47" xr6:coauthVersionMax="47" xr10:uidLastSave="{00000000-0000-0000-0000-000000000000}"/>
  <bookViews>
    <workbookView xWindow="45000" yWindow="2412" windowWidth="40596" windowHeight="21708" xr2:uid="{3549EF4E-3523-4DBF-873F-707DB05DDE95}"/>
  </bookViews>
  <sheets>
    <sheet name="Function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1" l="1"/>
  <c r="P29" i="1"/>
  <c r="C11" i="1"/>
  <c r="C29" i="1"/>
  <c r="C28" i="1"/>
  <c r="C19" i="1"/>
  <c r="P19" i="1"/>
  <c r="P20" i="1"/>
  <c r="C5" i="1"/>
  <c r="P28" i="1"/>
  <c r="C20" i="1"/>
  <c r="I19" i="1" l="1"/>
  <c r="I28" i="1"/>
  <c r="P27" i="1"/>
  <c r="L17" i="1"/>
  <c r="L10" i="1"/>
  <c r="P10" i="1" s="1"/>
  <c r="L4" i="1"/>
  <c r="P4" i="1" s="1"/>
  <c r="P24" i="1"/>
  <c r="P23" i="1"/>
  <c r="P18" i="1"/>
  <c r="P17" i="1"/>
  <c r="P16" i="1"/>
  <c r="P15" i="1"/>
  <c r="P14" i="1"/>
  <c r="P8" i="1"/>
  <c r="P2" i="1"/>
  <c r="P26" i="1" l="1"/>
  <c r="P9" i="1"/>
  <c r="P25" i="1"/>
  <c r="P3" i="1"/>
  <c r="I20" i="1"/>
  <c r="P11" i="1"/>
  <c r="P5" i="1"/>
  <c r="I5" i="1" l="1"/>
  <c r="I11" i="1"/>
  <c r="I29" i="1"/>
</calcChain>
</file>

<file path=xl/sharedStrings.xml><?xml version="1.0" encoding="utf-8"?>
<sst xmlns="http://schemas.openxmlformats.org/spreadsheetml/2006/main" count="134" uniqueCount="50">
  <si>
    <t>Public Function w_CS(cd As Double, n As Double, m As Double) As Double</t>
  </si>
  <si>
    <t>Public Function w_CH(td As Double, n As Double, m As Double) As Double</t>
  </si>
  <si>
    <t>w_CH</t>
  </si>
  <si>
    <t>cd</t>
  </si>
  <si>
    <t>n</t>
  </si>
  <si>
    <t>m</t>
  </si>
  <si>
    <t>w_CS</t>
  </si>
  <si>
    <t>td</t>
  </si>
  <si>
    <t>bh</t>
  </si>
  <si>
    <t>cb</t>
  </si>
  <si>
    <t>mx</t>
  </si>
  <si>
    <t>my</t>
  </si>
  <si>
    <t>tb</t>
  </si>
  <si>
    <t>d</t>
  </si>
  <si>
    <t>c</t>
  </si>
  <si>
    <t>N</t>
  </si>
  <si>
    <t>M</t>
  </si>
  <si>
    <t>MPa</t>
  </si>
  <si>
    <t>cm</t>
  </si>
  <si>
    <t>kN</t>
  </si>
  <si>
    <t>kNm</t>
  </si>
  <si>
    <t>Normalized entry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</si>
  <si>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</si>
  <si>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</si>
  <si>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</si>
  <si>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</si>
  <si>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</si>
  <si>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</si>
  <si>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</si>
  <si>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r>
      <t>A</t>
    </r>
    <r>
      <rPr>
        <i/>
        <vertAlign val="subscript"/>
        <sz val="11"/>
        <color theme="1"/>
        <rFont val="Calibri"/>
        <family val="2"/>
        <charset val="161"/>
        <scheme val="minor"/>
      </rPr>
      <t>c</t>
    </r>
  </si>
  <si>
    <r>
      <t xml:space="preserve">Absolute entry </t>
    </r>
    <r>
      <rPr>
        <sz val="11"/>
        <color theme="1"/>
        <rFont val="Calibri"/>
        <family val="2"/>
        <charset val="161"/>
        <scheme val="minor"/>
      </rPr>
      <t>(f</t>
    </r>
    <r>
      <rPr>
        <vertAlign val="subscript"/>
        <sz val="11"/>
        <color theme="1"/>
        <rFont val="Calibri"/>
        <family val="2"/>
        <charset val="161"/>
        <scheme val="minor"/>
      </rPr>
      <t>yd</t>
    </r>
    <r>
      <rPr>
        <sz val="11"/>
        <color theme="1"/>
        <rFont val="Calibri"/>
        <family val="2"/>
        <charset val="161"/>
        <scheme val="minor"/>
      </rPr>
      <t xml:space="preserve"> = 500/1.15 MPa)</t>
    </r>
  </si>
  <si>
    <t>cm²</t>
  </si>
  <si>
    <t>m²</t>
  </si>
  <si>
    <t>Circular Solid</t>
  </si>
  <si>
    <t>Circular Hollow</t>
  </si>
  <si>
    <t>Rectangular Solid</t>
  </si>
  <si>
    <t>Rectangular Hollow</t>
  </si>
  <si>
    <t>w_RSe</t>
  </si>
  <si>
    <t>w_RHe</t>
  </si>
  <si>
    <t>Public Function w_RSe(bh As Double, cb As Double, n As Double, mx As Double, my As Double) As Double</t>
  </si>
  <si>
    <t>Public Function w_RHe(bh As Double, tb As Double, n As Double, mx As Double, my As Double) As Double</t>
  </si>
  <si>
    <t>←</t>
  </si>
  <si>
    <t>w_RSd</t>
  </si>
  <si>
    <t>w_RHd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</si>
  <si>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s,RSe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</si>
  <si>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s,RSd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</si>
  <si>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s,RHe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</si>
  <si>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s,RHd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</si>
  <si>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s,CS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</si>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</sst>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i/>
      <sz val="11"/>
      <color theme="1"/>
      <name val="Calibri"/>
      <family val="2"/>
      <charset val="161"/>
      <scheme val="minor"/>
    </font>
    <font>
      <i/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2" fontId="2" fillId="2" borderId="0" xfId="0" applyNumberFormat="1" applyFont="1" applyFill="1" applyAlignment="1" applyProtection="1">
      <alignment horizontal="right" vertical="center"/>
      <protection locked="0"/>
    </xf>
    <xf numFmtId="166" fontId="2" fillId="2" borderId="0" xfId="0" applyNumberFormat="1" applyFont="1" applyFill="1" applyAlignment="1" applyProtection="1">
      <alignment vertical="center"/>
      <protection locked="0"/>
    </xf>
    <xf numFmtId="1" fontId="2" fillId="2" borderId="0" xfId="0" applyNumberFormat="1" applyFont="1" applyFill="1" applyAlignment="1" applyProtection="1">
      <alignment horizontal="right" vertical="center"/>
      <protection locked="0"/>
    </xf>
    <xf numFmtId="165" fontId="2" fillId="3" borderId="7" xfId="0" applyNumberFormat="1" applyFont="1" applyFill="1" applyBorder="1" applyAlignment="1">
      <alignment vertical="center"/>
    </xf>
    <xf numFmtId="165" fontId="2" fillId="3" borderId="0" xfId="0" applyNumberFormat="1" applyFont="1" applyFill="1" applyAlignment="1">
      <alignment horizontal="right" vertical="center"/>
    </xf>
    <xf numFmtId="165" fontId="2" fillId="3" borderId="7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0" xfId="0" applyFill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0" xfId="0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164" fontId="4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165" fontId="4" fillId="2" borderId="0" xfId="0" applyNumberFormat="1" applyFont="1" applyFill="1" applyAlignment="1">
      <alignment vertical="center"/>
    </xf>
    <xf numFmtId="0" fontId="2" fillId="3" borderId="6" xfId="0" applyFont="1" applyFill="1" applyBorder="1" applyAlignment="1">
      <alignment horizontal="right"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2" fontId="2" fillId="3" borderId="7" xfId="0" applyNumberFormat="1" applyFont="1" applyFill="1" applyBorder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164" fontId="4" fillId="3" borderId="7" xfId="0" applyNumberFormat="1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2" fontId="0" fillId="2" borderId="0" xfId="0" applyNumberFormat="1" applyFill="1" applyAlignment="1">
      <alignment horizontal="right" vertical="center"/>
    </xf>
    <xf numFmtId="0" fontId="2" fillId="3" borderId="4" xfId="0" applyFont="1" applyFill="1" applyBorder="1" applyAlignment="1">
      <alignment horizontal="right" vertical="center"/>
    </xf>
    <xf numFmtId="0" fontId="0" fillId="3" borderId="0" xfId="0" applyFill="1" applyAlignment="1">
      <alignment vertical="center"/>
    </xf>
    <xf numFmtId="0" fontId="0" fillId="3" borderId="5" xfId="0" applyFill="1" applyBorder="1" applyAlignment="1">
      <alignment vertical="center"/>
    </xf>
    <xf numFmtId="2" fontId="2" fillId="3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164" fontId="4" fillId="3" borderId="0" xfId="0" applyNumberFormat="1" applyFont="1" applyFill="1" applyAlignment="1">
      <alignment horizontal="right" vertical="center"/>
    </xf>
    <xf numFmtId="2" fontId="2" fillId="3" borderId="7" xfId="0" applyNumberFormat="1" applyFont="1" applyFill="1" applyBorder="1" applyAlignment="1">
      <alignment horizontal="right" vertical="center"/>
    </xf>
    <xf numFmtId="164" fontId="4" fillId="3" borderId="7" xfId="0" applyNumberFormat="1" applyFont="1" applyFill="1" applyBorder="1" applyAlignment="1">
      <alignment horizontal="right" vertical="center"/>
    </xf>
    <xf numFmtId="0" fontId="2" fillId="4" borderId="9" xfId="0" applyFont="1" applyFill="1" applyBorder="1" applyAlignment="1">
      <alignment horizontal="center" vertical="center" textRotation="90"/>
    </xf>
    <xf numFmtId="0" fontId="2" fillId="4" borderId="10" xfId="0" applyFont="1" applyFill="1" applyBorder="1" applyAlignment="1">
      <alignment horizontal="center" vertical="center" textRotation="90"/>
    </xf>
    <xf numFmtId="0" fontId="2" fillId="4" borderId="1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C272B-3465-488B-938B-8E2644EC5072}">
  <sheetPr codeName="Sheet1"/>
  <dimension ref="A1:Q29"/>
  <sheetViews>
    <sheetView tabSelected="1" zoomScale="85" zoomScaleNormal="85" workbookViewId="0">
      <selection sqref="A1:A5"/>
    </sheetView>
  </sheetViews>
  <sheetFormatPr defaultColWidth="9.3046875" defaultRowHeight="14.6" x14ac:dyDescent="0.4"/>
  <cols>
    <col min="1" max="1" width="4.69140625" style="7" customWidth="1"/>
    <col min="2" max="6" width="20.69140625" style="7" customWidth="1"/>
    <col min="7" max="7" width="5.69140625" style="7" customWidth="1"/>
    <col min="8" max="8" width="10.69140625" style="7" customWidth="1"/>
    <col min="9" max="10" width="15.69140625" style="7" customWidth="1"/>
    <col min="11" max="11" width="10.69140625" style="7" customWidth="1"/>
    <col min="12" max="14" width="15.69140625" style="7" customWidth="1"/>
    <col min="15" max="15" width="10.69140625" style="7" customWidth="1"/>
    <col min="16" max="17" width="15.69140625" style="7" customWidth="1"/>
    <col min="18" max="16384" width="9.3046875" style="7"/>
  </cols>
  <sheetData>
    <row r="1" spans="1:17" ht="18" customHeight="1" x14ac:dyDescent="0.4">
      <c r="A1" s="35" t="s">
        <v>33</v>
      </c>
      <c r="B1" s="38" t="s">
        <v>0</v>
      </c>
      <c r="C1" s="39"/>
      <c r="D1" s="39"/>
      <c r="E1" s="39"/>
      <c r="F1" s="40"/>
      <c r="H1" s="38" t="s">
        <v>30</v>
      </c>
      <c r="I1" s="39"/>
      <c r="J1" s="39"/>
      <c r="K1" s="39"/>
      <c r="L1" s="39"/>
      <c r="M1" s="39"/>
      <c r="N1" s="39"/>
      <c r="O1" s="39"/>
      <c r="P1" s="39"/>
      <c r="Q1" s="40"/>
    </row>
    <row r="2" spans="1:17" ht="18" customHeight="1" x14ac:dyDescent="0.4">
      <c r="A2" s="36"/>
      <c r="B2" s="8" t="s">
        <v>3</v>
      </c>
      <c r="C2" s="1">
        <v>0.05</v>
      </c>
      <c r="D2" s="9"/>
      <c r="E2" s="9"/>
      <c r="F2" s="10"/>
      <c r="H2" s="8" t="s">
        <v>13</v>
      </c>
      <c r="I2" s="1">
        <v>0.7</v>
      </c>
      <c r="J2" s="9" t="s">
        <v>5</v>
      </c>
      <c r="K2" s="11" t="s">
        <v>15</v>
      </c>
      <c r="L2" s="2">
        <v>-1500</v>
      </c>
      <c r="M2" s="9" t="s">
        <v>19</v>
      </c>
      <c r="N2" s="9"/>
      <c r="O2" s="12" t="s">
        <v>3</v>
      </c>
      <c r="P2" s="13">
        <f>I3/100/I2</f>
        <v>7.1428571428571438E-2</v>
      </c>
      <c r="Q2" s="10"/>
    </row>
    <row r="3" spans="1:17" ht="18" customHeight="1" x14ac:dyDescent="0.4">
      <c r="A3" s="36"/>
      <c r="B3" s="8" t="s">
        <v>4</v>
      </c>
      <c r="C3" s="1">
        <v>-0.1</v>
      </c>
      <c r="D3" s="9"/>
      <c r="E3" s="14" t="s">
        <v>21</v>
      </c>
      <c r="F3" s="10"/>
      <c r="H3" s="8" t="s">
        <v>14</v>
      </c>
      <c r="I3" s="3">
        <v>5</v>
      </c>
      <c r="J3" s="9" t="s">
        <v>18</v>
      </c>
      <c r="K3" s="11" t="s">
        <v>16</v>
      </c>
      <c r="L3" s="2">
        <v>500</v>
      </c>
      <c r="M3" s="9" t="s">
        <v>20</v>
      </c>
      <c r="N3" s="9"/>
      <c r="O3" s="12" t="s">
        <v>4</v>
      </c>
      <c r="P3" s="13">
        <f>L2/(L4*I4*1000)</f>
        <v>-0.19488360378599431</v>
      </c>
      <c r="Q3" s="10"/>
    </row>
    <row r="4" spans="1:17" ht="18" customHeight="1" x14ac:dyDescent="0.4">
      <c r="A4" s="36"/>
      <c r="B4" s="8" t="s">
        <v>5</v>
      </c>
      <c r="C4" s="1">
        <v>0.2</v>
      </c>
      <c r="D4" s="9"/>
      <c r="E4" s="9"/>
      <c r="F4" s="10"/>
      <c r="H4" s="8" t="s">
        <v>22</v>
      </c>
      <c r="I4" s="3">
        <v>20</v>
      </c>
      <c r="J4" s="9" t="s">
        <v>17</v>
      </c>
      <c r="K4" s="15" t="s">
        <v>29</v>
      </c>
      <c r="L4" s="16">
        <f>PI()*I2^2/4</f>
        <v>0.38484510006474959</v>
      </c>
      <c r="M4" s="12" t="s">
        <v>32</v>
      </c>
      <c r="N4" s="9"/>
      <c r="O4" s="12" t="s">
        <v>5</v>
      </c>
      <c r="P4" s="13">
        <f>L3/(L4*I2*I4*1000)</f>
        <v>9.2801716088568728E-2</v>
      </c>
      <c r="Q4" s="10"/>
    </row>
    <row r="5" spans="1:17" ht="18" customHeight="1" x14ac:dyDescent="0.4">
      <c r="A5" s="37"/>
      <c r="B5" s="17" t="s">
        <v>6</v>
      </c>
      <c r="C5" s="4">
        <f>w_CS(C2,C3,C4)</f>
        <v>0.49715126086470435</v>
      </c>
      <c r="D5" s="18"/>
      <c r="E5" s="18"/>
      <c r="F5" s="19"/>
      <c r="H5" s="17" t="s">
        <v>48</v>
      </c>
      <c r="I5" s="20">
        <f>P5*L4*I4/(500/1.15)*10000</f>
        <v>14.823549802755185</v>
      </c>
      <c r="J5" s="18" t="s">
        <v>31</v>
      </c>
      <c r="K5" s="18"/>
      <c r="L5" s="18"/>
      <c r="M5" s="18"/>
      <c r="N5" s="21" t="s">
        <v>41</v>
      </c>
      <c r="O5" s="22" t="s">
        <v>23</v>
      </c>
      <c r="P5" s="23">
        <f>w_CS(P2,P3,P4)</f>
        <v>8.3735269752524516E-2</v>
      </c>
      <c r="Q5" s="19"/>
    </row>
    <row r="6" spans="1:17" ht="18" customHeight="1" x14ac:dyDescent="0.4"/>
    <row r="7" spans="1:17" ht="18" customHeight="1" x14ac:dyDescent="0.4">
      <c r="A7" s="35" t="s">
        <v>34</v>
      </c>
      <c r="B7" s="38" t="s">
        <v>1</v>
      </c>
      <c r="C7" s="39"/>
      <c r="D7" s="39"/>
      <c r="E7" s="39"/>
      <c r="F7" s="40"/>
      <c r="H7" s="38" t="s">
        <v>30</v>
      </c>
      <c r="I7" s="39"/>
      <c r="J7" s="39"/>
      <c r="K7" s="39"/>
      <c r="L7" s="39"/>
      <c r="M7" s="39"/>
      <c r="N7" s="39"/>
      <c r="O7" s="39"/>
      <c r="P7" s="39"/>
      <c r="Q7" s="40"/>
    </row>
    <row r="8" spans="1:17" ht="18" customHeight="1" x14ac:dyDescent="0.4">
      <c r="A8" s="36"/>
      <c r="B8" s="8" t="s">
        <v>7</v>
      </c>
      <c r="C8" s="1">
        <v>0.15</v>
      </c>
      <c r="D8" s="9"/>
      <c r="E8" s="9"/>
      <c r="F8" s="10"/>
      <c r="H8" s="8" t="s">
        <v>13</v>
      </c>
      <c r="I8" s="1">
        <v>0.7</v>
      </c>
      <c r="J8" s="9" t="s">
        <v>5</v>
      </c>
      <c r="K8" s="11" t="s">
        <v>15</v>
      </c>
      <c r="L8" s="2">
        <v>-1500</v>
      </c>
      <c r="M8" s="9" t="s">
        <v>19</v>
      </c>
      <c r="N8" s="9"/>
      <c r="O8" s="12" t="s">
        <v>7</v>
      </c>
      <c r="P8" s="13">
        <f>I9/100/I8</f>
        <v>0.14285714285714288</v>
      </c>
      <c r="Q8" s="10"/>
    </row>
    <row r="9" spans="1:17" ht="18" customHeight="1" x14ac:dyDescent="0.4">
      <c r="A9" s="36"/>
      <c r="B9" s="8" t="s">
        <v>4</v>
      </c>
      <c r="C9" s="1">
        <v>-0.15</v>
      </c>
      <c r="D9" s="9"/>
      <c r="E9" s="14" t="s">
        <v>21</v>
      </c>
      <c r="F9" s="24"/>
      <c r="H9" s="8" t="s">
        <v>24</v>
      </c>
      <c r="I9" s="3">
        <v>10</v>
      </c>
      <c r="J9" s="9" t="s">
        <v>18</v>
      </c>
      <c r="K9" s="11" t="s">
        <v>16</v>
      </c>
      <c r="L9" s="2">
        <v>500</v>
      </c>
      <c r="M9" s="9" t="s">
        <v>20</v>
      </c>
      <c r="N9" s="9"/>
      <c r="O9" s="12" t="s">
        <v>4</v>
      </c>
      <c r="P9" s="13">
        <f>L8/(L10*I10*1000)</f>
        <v>-0.39788735772973838</v>
      </c>
      <c r="Q9" s="10"/>
    </row>
    <row r="10" spans="1:17" ht="18" customHeight="1" x14ac:dyDescent="0.4">
      <c r="A10" s="36"/>
      <c r="B10" s="8" t="s">
        <v>5</v>
      </c>
      <c r="C10" s="1">
        <v>0.25</v>
      </c>
      <c r="D10" s="9"/>
      <c r="E10" s="9"/>
      <c r="F10" s="10"/>
      <c r="H10" s="8" t="s">
        <v>22</v>
      </c>
      <c r="I10" s="3">
        <v>20</v>
      </c>
      <c r="J10" s="9" t="s">
        <v>17</v>
      </c>
      <c r="K10" s="15" t="s">
        <v>29</v>
      </c>
      <c r="L10" s="16">
        <f>PI()*I8^2/4-PI()*(I8-2*I9/100)^2/4</f>
        <v>0.18849555921538758</v>
      </c>
      <c r="M10" s="12" t="s">
        <v>32</v>
      </c>
      <c r="N10" s="9"/>
      <c r="O10" s="12" t="s">
        <v>5</v>
      </c>
      <c r="P10" s="13">
        <f>L9/(L10*I8*I10*1000)</f>
        <v>0.18947017034749447</v>
      </c>
      <c r="Q10" s="10"/>
    </row>
    <row r="11" spans="1:17" ht="18" customHeight="1" x14ac:dyDescent="0.4">
      <c r="A11" s="37"/>
      <c r="B11" s="17" t="s">
        <v>2</v>
      </c>
      <c r="C11" s="4">
        <f>w_Ch(C8,C9,C10)</f>
        <v>0.58881533421296228</v>
      </c>
      <c r="D11" s="18"/>
      <c r="E11" s="18"/>
      <c r="F11" s="19"/>
      <c r="H11" s="17" t="s">
        <v>49</v>
      </c>
      <c r="I11" s="20">
        <f>P11*L10*I10/(500/1.15)*10000</f>
        <v>20.636847112537712</v>
      </c>
      <c r="J11" s="18" t="s">
        <v>31</v>
      </c>
      <c r="K11" s="18"/>
      <c r="L11" s="18"/>
      <c r="M11" s="18"/>
      <c r="N11" s="21" t="s">
        <v>41</v>
      </c>
      <c r="O11" s="22" t="s">
        <v>23</v>
      </c>
      <c r="P11" s="23">
        <f>w_Ch(P8,P9,P10)</f>
        <v>0.23800407447768732</v>
      </c>
      <c r="Q11" s="19"/>
    </row>
    <row r="12" spans="1:17" ht="18" customHeight="1" x14ac:dyDescent="0.4"/>
    <row r="13" spans="1:17" ht="18" customHeight="1" x14ac:dyDescent="0.4">
      <c r="A13" s="35" t="s">
        <v>35</v>
      </c>
      <c r="B13" s="38" t="s">
        <v>39</v>
      </c>
      <c r="C13" s="39"/>
      <c r="D13" s="39"/>
      <c r="E13" s="39"/>
      <c r="F13" s="40"/>
      <c r="H13" s="38" t="s">
        <v>30</v>
      </c>
      <c r="I13" s="39"/>
      <c r="J13" s="39"/>
      <c r="K13" s="39"/>
      <c r="L13" s="39"/>
      <c r="M13" s="39"/>
      <c r="N13" s="39"/>
      <c r="O13" s="39"/>
      <c r="P13" s="39"/>
      <c r="Q13" s="40"/>
    </row>
    <row r="14" spans="1:17" ht="18" customHeight="1" x14ac:dyDescent="0.4">
      <c r="A14" s="36"/>
      <c r="B14" s="8" t="s">
        <v>8</v>
      </c>
      <c r="C14" s="1">
        <v>1.5</v>
      </c>
      <c r="D14" s="9"/>
      <c r="E14" s="9"/>
      <c r="F14" s="10"/>
      <c r="H14" s="8" t="s">
        <v>25</v>
      </c>
      <c r="I14" s="1">
        <v>0.7</v>
      </c>
      <c r="J14" s="9" t="s">
        <v>5</v>
      </c>
      <c r="K14" s="11" t="s">
        <v>15</v>
      </c>
      <c r="L14" s="2">
        <v>-2000</v>
      </c>
      <c r="M14" s="9" t="s">
        <v>19</v>
      </c>
      <c r="N14" s="9"/>
      <c r="O14" s="12" t="s">
        <v>8</v>
      </c>
      <c r="P14" s="13">
        <f>I14/I15</f>
        <v>1.4</v>
      </c>
      <c r="Q14" s="10"/>
    </row>
    <row r="15" spans="1:17" ht="18" customHeight="1" x14ac:dyDescent="0.4">
      <c r="A15" s="36"/>
      <c r="B15" s="8" t="s">
        <v>9</v>
      </c>
      <c r="C15" s="1">
        <v>0.08</v>
      </c>
      <c r="D15" s="9"/>
      <c r="E15" s="9"/>
      <c r="F15" s="10"/>
      <c r="H15" s="8" t="s">
        <v>26</v>
      </c>
      <c r="I15" s="1">
        <v>0.5</v>
      </c>
      <c r="J15" s="9" t="s">
        <v>5</v>
      </c>
      <c r="K15" s="11" t="s">
        <v>27</v>
      </c>
      <c r="L15" s="2">
        <v>400</v>
      </c>
      <c r="M15" s="9" t="s">
        <v>20</v>
      </c>
      <c r="N15" s="9"/>
      <c r="O15" s="12" t="s">
        <v>9</v>
      </c>
      <c r="P15" s="13">
        <f>I16/100/I14</f>
        <v>7.1428571428571438E-2</v>
      </c>
      <c r="Q15" s="10"/>
    </row>
    <row r="16" spans="1:17" ht="18" customHeight="1" x14ac:dyDescent="0.4">
      <c r="A16" s="36"/>
      <c r="B16" s="8" t="s">
        <v>4</v>
      </c>
      <c r="C16" s="1">
        <v>-0.2</v>
      </c>
      <c r="D16" s="9"/>
      <c r="E16" s="14" t="s">
        <v>21</v>
      </c>
      <c r="F16" s="10"/>
      <c r="H16" s="8" t="s">
        <v>14</v>
      </c>
      <c r="I16" s="3">
        <v>5</v>
      </c>
      <c r="J16" s="9" t="s">
        <v>18</v>
      </c>
      <c r="K16" s="11" t="s">
        <v>28</v>
      </c>
      <c r="L16" s="2">
        <v>100</v>
      </c>
      <c r="M16" s="9" t="s">
        <v>20</v>
      </c>
      <c r="N16" s="9"/>
      <c r="O16" s="12" t="s">
        <v>4</v>
      </c>
      <c r="P16" s="13">
        <f>L14/(I14*I15*I17*1000)</f>
        <v>-0.2857142857142857</v>
      </c>
      <c r="Q16" s="10"/>
    </row>
    <row r="17" spans="1:17" ht="18" customHeight="1" x14ac:dyDescent="0.4">
      <c r="A17" s="36"/>
      <c r="B17" s="8" t="s">
        <v>10</v>
      </c>
      <c r="C17" s="1">
        <v>0.05</v>
      </c>
      <c r="D17" s="9"/>
      <c r="E17" s="9"/>
      <c r="F17" s="10"/>
      <c r="H17" s="8" t="s">
        <v>22</v>
      </c>
      <c r="I17" s="3">
        <v>20</v>
      </c>
      <c r="J17" s="9" t="s">
        <v>17</v>
      </c>
      <c r="K17" s="15" t="s">
        <v>29</v>
      </c>
      <c r="L17" s="16">
        <f>I14*I15</f>
        <v>0.35</v>
      </c>
      <c r="M17" s="12" t="s">
        <v>32</v>
      </c>
      <c r="N17" s="9"/>
      <c r="O17" s="12" t="s">
        <v>10</v>
      </c>
      <c r="P17" s="13">
        <f>L15/(I14*I15^2*I17*1000)</f>
        <v>0.11428571428571428</v>
      </c>
      <c r="Q17" s="10"/>
    </row>
    <row r="18" spans="1:17" ht="18" customHeight="1" x14ac:dyDescent="0.4">
      <c r="A18" s="36"/>
      <c r="B18" s="8" t="s">
        <v>11</v>
      </c>
      <c r="C18" s="1">
        <v>0.15</v>
      </c>
      <c r="D18" s="9"/>
      <c r="E18" s="9"/>
      <c r="F18" s="10"/>
      <c r="H18" s="8"/>
      <c r="I18" s="25"/>
      <c r="J18" s="9"/>
      <c r="K18" s="9"/>
      <c r="L18" s="9"/>
      <c r="M18" s="9"/>
      <c r="N18" s="9"/>
      <c r="O18" s="12" t="s">
        <v>11</v>
      </c>
      <c r="P18" s="13">
        <f>L16/(I15*I14^2*I17*1000)</f>
        <v>2.0408163265306128E-2</v>
      </c>
      <c r="Q18" s="10"/>
    </row>
    <row r="19" spans="1:17" ht="18" customHeight="1" x14ac:dyDescent="0.4">
      <c r="A19" s="36"/>
      <c r="B19" s="26" t="s">
        <v>37</v>
      </c>
      <c r="C19" s="5">
        <f>w_RSe(C14,C15,C16,C17,C18)</f>
        <v>0.25457795823313467</v>
      </c>
      <c r="D19" s="27"/>
      <c r="E19" s="27"/>
      <c r="F19" s="28"/>
      <c r="H19" s="26" t="s">
        <v>44</v>
      </c>
      <c r="I19" s="29">
        <f>P19*I14*I15*I17/(500/1.15)*10000</f>
        <v>8.9314138602456818</v>
      </c>
      <c r="J19" s="27" t="s">
        <v>31</v>
      </c>
      <c r="K19" s="27"/>
      <c r="L19" s="27"/>
      <c r="M19" s="27"/>
      <c r="N19" s="30" t="s">
        <v>41</v>
      </c>
      <c r="O19" s="31" t="s">
        <v>23</v>
      </c>
      <c r="P19" s="32">
        <f>w_RSe(P14,P15,P16,P17,P18)</f>
        <v>5.547462024997319E-2</v>
      </c>
      <c r="Q19" s="28"/>
    </row>
    <row r="20" spans="1:17" ht="18" customHeight="1" x14ac:dyDescent="0.4">
      <c r="A20" s="37"/>
      <c r="B20" s="17" t="s">
        <v>42</v>
      </c>
      <c r="C20" s="6">
        <f>w_RSd(C14,C15,C16,C17,C18)</f>
        <v>0.27059799218151992</v>
      </c>
      <c r="D20" s="18"/>
      <c r="E20" s="18"/>
      <c r="F20" s="19"/>
      <c r="H20" s="17" t="s">
        <v>45</v>
      </c>
      <c r="I20" s="33">
        <f>P20*I14*I15*I17/(500/1.15)*10000</f>
        <v>8.5016622416389733</v>
      </c>
      <c r="J20" s="18" t="s">
        <v>31</v>
      </c>
      <c r="K20" s="18"/>
      <c r="L20" s="18"/>
      <c r="M20" s="18"/>
      <c r="N20" s="21" t="s">
        <v>41</v>
      </c>
      <c r="O20" s="22" t="s">
        <v>23</v>
      </c>
      <c r="P20" s="34">
        <f>w_RSd(P14,P15,P16,P17,P18)</f>
        <v>5.2805355538130275E-2</v>
      </c>
      <c r="Q20" s="19"/>
    </row>
    <row r="21" spans="1:17" ht="18" customHeight="1" x14ac:dyDescent="0.4"/>
    <row r="22" spans="1:17" ht="18" customHeight="1" x14ac:dyDescent="0.4">
      <c r="A22" s="35" t="s">
        <v>36</v>
      </c>
      <c r="B22" s="38" t="s">
        <v>40</v>
      </c>
      <c r="C22" s="39"/>
      <c r="D22" s="39"/>
      <c r="E22" s="39"/>
      <c r="F22" s="40"/>
      <c r="H22" s="38" t="s">
        <v>30</v>
      </c>
      <c r="I22" s="39"/>
      <c r="J22" s="39"/>
      <c r="K22" s="39"/>
      <c r="L22" s="39"/>
      <c r="M22" s="39"/>
      <c r="N22" s="39"/>
      <c r="O22" s="39"/>
      <c r="P22" s="39"/>
      <c r="Q22" s="40"/>
    </row>
    <row r="23" spans="1:17" ht="18" customHeight="1" x14ac:dyDescent="0.4">
      <c r="A23" s="36"/>
      <c r="B23" s="8" t="s">
        <v>8</v>
      </c>
      <c r="C23" s="1">
        <v>1.5</v>
      </c>
      <c r="D23" s="9"/>
      <c r="E23" s="9"/>
      <c r="F23" s="10"/>
      <c r="H23" s="8" t="s">
        <v>25</v>
      </c>
      <c r="I23" s="1">
        <v>0.7</v>
      </c>
      <c r="J23" s="9" t="s">
        <v>5</v>
      </c>
      <c r="K23" s="11" t="s">
        <v>15</v>
      </c>
      <c r="L23" s="2">
        <v>-1000</v>
      </c>
      <c r="M23" s="9" t="s">
        <v>19</v>
      </c>
      <c r="N23" s="9"/>
      <c r="O23" s="12" t="s">
        <v>8</v>
      </c>
      <c r="P23" s="13">
        <f>I23/I24</f>
        <v>1.4</v>
      </c>
      <c r="Q23" s="10"/>
    </row>
    <row r="24" spans="1:17" ht="18" customHeight="1" x14ac:dyDescent="0.4">
      <c r="A24" s="36"/>
      <c r="B24" s="8" t="s">
        <v>12</v>
      </c>
      <c r="C24" s="1">
        <v>0.2</v>
      </c>
      <c r="D24" s="9"/>
      <c r="E24" s="9"/>
      <c r="F24" s="10"/>
      <c r="H24" s="8" t="s">
        <v>26</v>
      </c>
      <c r="I24" s="1">
        <v>0.5</v>
      </c>
      <c r="J24" s="9" t="s">
        <v>5</v>
      </c>
      <c r="K24" s="11" t="s">
        <v>27</v>
      </c>
      <c r="L24" s="2">
        <v>400</v>
      </c>
      <c r="M24" s="9" t="s">
        <v>20</v>
      </c>
      <c r="N24" s="9"/>
      <c r="O24" s="12" t="s">
        <v>12</v>
      </c>
      <c r="P24" s="13">
        <f>I25/100/I23</f>
        <v>0.14285714285714288</v>
      </c>
      <c r="Q24" s="10"/>
    </row>
    <row r="25" spans="1:17" ht="18" customHeight="1" x14ac:dyDescent="0.4">
      <c r="A25" s="36"/>
      <c r="B25" s="8" t="s">
        <v>4</v>
      </c>
      <c r="C25" s="1">
        <v>-0.25</v>
      </c>
      <c r="D25" s="9"/>
      <c r="E25" s="14" t="s">
        <v>21</v>
      </c>
      <c r="F25" s="10"/>
      <c r="H25" s="8" t="s">
        <v>24</v>
      </c>
      <c r="I25" s="3">
        <v>10</v>
      </c>
      <c r="J25" s="9" t="s">
        <v>18</v>
      </c>
      <c r="K25" s="11" t="s">
        <v>28</v>
      </c>
      <c r="L25" s="2">
        <v>100</v>
      </c>
      <c r="M25" s="9" t="s">
        <v>20</v>
      </c>
      <c r="N25" s="9"/>
      <c r="O25" s="12" t="s">
        <v>4</v>
      </c>
      <c r="P25" s="13">
        <f>L23/(L26*I26*1000)</f>
        <v>-0.25</v>
      </c>
      <c r="Q25" s="10"/>
    </row>
    <row r="26" spans="1:17" ht="18" customHeight="1" x14ac:dyDescent="0.4">
      <c r="A26" s="36"/>
      <c r="B26" s="8" t="s">
        <v>10</v>
      </c>
      <c r="C26" s="1">
        <v>0.08</v>
      </c>
      <c r="D26" s="9"/>
      <c r="E26" s="9"/>
      <c r="F26" s="10"/>
      <c r="H26" s="8" t="s">
        <v>22</v>
      </c>
      <c r="I26" s="3">
        <v>20</v>
      </c>
      <c r="J26" s="9" t="s">
        <v>17</v>
      </c>
      <c r="K26" s="15" t="s">
        <v>29</v>
      </c>
      <c r="L26" s="16">
        <f>I23*I24-(I23-2*I25/100)*(I24-2*I25/100)</f>
        <v>0.2</v>
      </c>
      <c r="M26" s="12" t="s">
        <v>32</v>
      </c>
      <c r="N26" s="9"/>
      <c r="O26" s="12" t="s">
        <v>10</v>
      </c>
      <c r="P26" s="13">
        <f>L24/(L26*I24*I26*1000)</f>
        <v>0.2</v>
      </c>
      <c r="Q26" s="10"/>
    </row>
    <row r="27" spans="1:17" ht="18" customHeight="1" x14ac:dyDescent="0.4">
      <c r="A27" s="36"/>
      <c r="B27" s="8" t="s">
        <v>11</v>
      </c>
      <c r="C27" s="1">
        <v>0.18</v>
      </c>
      <c r="D27" s="9"/>
      <c r="E27" s="9"/>
      <c r="F27" s="10"/>
      <c r="H27" s="8"/>
      <c r="I27" s="25"/>
      <c r="J27" s="9"/>
      <c r="K27" s="9"/>
      <c r="L27" s="9"/>
      <c r="M27" s="9"/>
      <c r="N27" s="9"/>
      <c r="O27" s="12" t="s">
        <v>11</v>
      </c>
      <c r="P27" s="13">
        <f>L25/(L26*I23*I26*1000)</f>
        <v>3.5714285714285712E-2</v>
      </c>
      <c r="Q27" s="10"/>
    </row>
    <row r="28" spans="1:17" ht="18" customHeight="1" x14ac:dyDescent="0.4">
      <c r="A28" s="36"/>
      <c r="B28" s="26" t="s">
        <v>38</v>
      </c>
      <c r="C28" s="5">
        <f>w_RHe(C23,C24,C25,C26,C27)</f>
        <v>0.34903797588530144</v>
      </c>
      <c r="D28" s="27"/>
      <c r="E28" s="27"/>
      <c r="F28" s="28"/>
      <c r="H28" s="26" t="s">
        <v>46</v>
      </c>
      <c r="I28" s="29">
        <f>P28*L26*I26/(500/1.15)*10000</f>
        <v>25.974490265356561</v>
      </c>
      <c r="J28" s="27" t="s">
        <v>31</v>
      </c>
      <c r="K28" s="27"/>
      <c r="L28" s="27"/>
      <c r="M28" s="27"/>
      <c r="N28" s="30" t="s">
        <v>41</v>
      </c>
      <c r="O28" s="31" t="s">
        <v>23</v>
      </c>
      <c r="P28" s="32">
        <f>w_RHe(P23,P24,P25,P26,P27)</f>
        <v>0.28233141592778871</v>
      </c>
      <c r="Q28" s="28"/>
    </row>
    <row r="29" spans="1:17" ht="18" customHeight="1" x14ac:dyDescent="0.4">
      <c r="A29" s="37"/>
      <c r="B29" s="17" t="s">
        <v>43</v>
      </c>
      <c r="C29" s="6">
        <f>w_RHd(C23,C24,C25,C26,C27)</f>
        <v>0.37249040079827095</v>
      </c>
      <c r="D29" s="18"/>
      <c r="E29" s="18"/>
      <c r="F29" s="19"/>
      <c r="H29" s="17" t="s">
        <v>47</v>
      </c>
      <c r="I29" s="33">
        <f>P29*L26*I26/(500/1.15)*10000</f>
        <v>25.175110365475394</v>
      </c>
      <c r="J29" s="18" t="s">
        <v>31</v>
      </c>
      <c r="K29" s="18"/>
      <c r="L29" s="18"/>
      <c r="M29" s="18"/>
      <c r="N29" s="21" t="s">
        <v>41</v>
      </c>
      <c r="O29" s="22" t="s">
        <v>23</v>
      </c>
      <c r="P29" s="34">
        <f>w_RHd(P23,P24,P25,P26,P27)</f>
        <v>0.27364250397255863</v>
      </c>
      <c r="Q29" s="19"/>
    </row>
  </sheetData>
  <sheetProtection algorithmName="SHA-512" hashValue="At9rWJ5q8v9g9zCitUyC92xF1Kl5W9CKd9Gm3tHPTTTXw/yv1IIis4Eqj57rI+kSSJgJeZi7kQDNg8CoOxgqxQ==" saltValue="1dymGiAmV05lbQiqearWrQ==" spinCount="100000" sheet="1" objects="1" scenarios="1"/>
  <mergeCells count="12">
    <mergeCell ref="A1:A5"/>
    <mergeCell ref="A7:A11"/>
    <mergeCell ref="A13:A20"/>
    <mergeCell ref="A22:A29"/>
    <mergeCell ref="H1:Q1"/>
    <mergeCell ref="H7:Q7"/>
    <mergeCell ref="H13:Q13"/>
    <mergeCell ref="H22:Q22"/>
    <mergeCell ref="B1:F1"/>
    <mergeCell ref="B7:F7"/>
    <mergeCell ref="B13:F13"/>
    <mergeCell ref="B22:F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2026-10-18T12:10:53Z</dcterms:modified>
</cp:coreProperties>
</file>