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y\Google Drive (vpapanik@gmail.com)\Shared\VKP-AEC\Project-Omega\Functions v2.0\VBA (Excel)\"/>
    </mc:Choice>
  </mc:AlternateContent>
  <xr:revisionPtr revIDLastSave="0" documentId="13_ncr:1_{BE298A08-F70F-4CB8-A783-CC4B67B8328B}" xr6:coauthVersionLast="47" xr6:coauthVersionMax="47" xr10:uidLastSave="{00000000-0000-0000-0000-000000000000}"/>
  <bookViews>
    <workbookView xWindow="45000" yWindow="2412" windowWidth="40596" windowHeight="21708" xr2:uid="{3549EF4E-3523-4DBF-873F-707DB05DDE95}"/>
  </bookViews>
  <sheets>
    <sheet name="Functions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" l="1"/>
  <c r="B18" i="4"/>
  <c r="L10" i="4"/>
  <c r="L28" i="4"/>
  <c r="L18" i="4"/>
  <c r="L80" i="4"/>
  <c r="B66" i="4"/>
  <c r="L38" i="4"/>
  <c r="L64" i="4"/>
  <c r="B58" i="4"/>
  <c r="B48" i="4"/>
  <c r="L58" i="4"/>
  <c r="B28" i="4"/>
  <c r="L48" i="4"/>
  <c r="L69" i="4"/>
  <c r="B38" i="4"/>
  <c r="B69" i="4"/>
  <c r="B80" i="4"/>
</calcChain>
</file>

<file path=xl/sharedStrings.xml><?xml version="1.0" encoding="utf-8"?>
<sst xmlns="http://schemas.openxmlformats.org/spreadsheetml/2006/main" count="290" uniqueCount="93">
  <si>
    <t>m</t>
  </si>
  <si>
    <t>d</t>
  </si>
  <si>
    <t>c</t>
  </si>
  <si>
    <t>N</t>
  </si>
  <si>
    <t>M</t>
  </si>
  <si>
    <t>MPa</t>
  </si>
  <si>
    <t>cm</t>
  </si>
  <si>
    <t>kN</t>
  </si>
  <si>
    <t>kNm</t>
  </si>
  <si>
    <r>
      <t>f</t>
    </r>
    <r>
      <rPr>
        <vertAlign val="subscript"/>
        <sz val="11"/>
        <color theme="1"/>
        <rFont val="Calibri"/>
        <family val="2"/>
        <charset val="161"/>
        <scheme val="minor"/>
      </rPr>
      <t>cd</t>
    </r>
  </si>
  <si>
    <t>ω</t>
  </si>
  <si>
    <t>t</t>
  </si>
  <si>
    <t>b</t>
  </si>
  <si>
    <t>h</t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</si>
  <si>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</si>
  <si>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</si>
  <si>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cm²</t>
  </si>
  <si>
    <t>Circular Solid Section (CS)</t>
  </si>
  <si>
    <t>c/d</t>
  </si>
  <si>
    <t>ν</t>
  </si>
  <si>
    <t>μ</t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</si>
  <si>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</t>
    </r>
  </si>
  <si>
    <t>normalized moment</t>
  </si>
  <si>
    <t>mechanical reinforcement ratio</t>
  </si>
  <si>
    <t>diameter</t>
  </si>
  <si>
    <t>cover</t>
  </si>
  <si>
    <t>concrete strength</t>
  </si>
  <si>
    <t>axial</t>
  </si>
  <si>
    <t>moment</t>
  </si>
  <si>
    <t>Circular Hollow Section (CH)</t>
  </si>
  <si>
    <t>t/d</t>
  </si>
  <si>
    <t>thickness</t>
  </si>
  <si>
    <t>Rectangular Solid Section with equal reinforcement at each side (RSe)</t>
  </si>
  <si>
    <t>b/h</t>
  </si>
  <si>
    <t>c/b</t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</si>
  <si>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</si>
  <si>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</si>
  <si>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width</t>
  </si>
  <si>
    <t>height</t>
  </si>
  <si>
    <t>Rectangular Hollow Section with equal reinforcement at each side (RHe)</t>
  </si>
  <si>
    <t>t/b</t>
  </si>
  <si>
    <t>Rectangular Solid Section with distributed reinforcement at each side (RSd)</t>
  </si>
  <si>
    <t>Rectangular Hollow Section with distributed reinforcement at each side (RHd)</t>
  </si>
  <si>
    <t>c/h</t>
  </si>
  <si>
    <t>t/h</t>
  </si>
  <si>
    <t>Tee Section (T)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</si>
  <si>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  <r>
      <rPr>
        <sz val="11"/>
        <color theme="1"/>
        <rFont val="Calibri"/>
        <family val="2"/>
        <scheme val="minor"/>
      </rPr>
      <t>/b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</si>
  <si>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  <r>
      <rPr>
        <sz val="11"/>
        <color theme="1"/>
        <rFont val="Calibri"/>
        <family val="2"/>
        <scheme val="minor"/>
      </rPr>
      <t>/d</t>
    </r>
  </si>
  <si>
    <t>ξ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</si>
  <si>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</si>
  <si>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</si>
  <si>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</si>
  <si>
    <t>flange width</t>
  </si>
  <si>
    <t>web width</t>
  </si>
  <si>
    <t>Rectangular Section (R)</t>
  </si>
  <si>
    <r>
      <t>f</t>
    </r>
    <r>
      <rPr>
        <b/>
        <vertAlign val="subscript"/>
        <sz val="12"/>
        <color theme="1"/>
        <rFont val="Calibri"/>
        <family val="2"/>
        <charset val="161"/>
        <scheme val="minor"/>
      </rPr>
      <t xml:space="preserve">yd </t>
    </r>
    <r>
      <rPr>
        <b/>
        <sz val="12"/>
        <color theme="1"/>
        <rFont val="Calibri"/>
        <family val="2"/>
        <charset val="161"/>
        <scheme val="minor"/>
      </rPr>
      <t>= 500/1.15 MPa</t>
    </r>
  </si>
  <si>
    <t>All function arguments are in m, kN and kPa, compression negative</t>
  </si>
  <si>
    <t>reinforcement area</t>
  </si>
  <si>
    <t>flange height</t>
  </si>
  <si>
    <t>Function w_CS(cd, n, m)</t>
  </si>
  <si>
    <t>Function w_CH(td, n, m)</t>
  </si>
  <si>
    <t>Function As_CS(d, c, fcd, N, M)</t>
  </si>
  <si>
    <t>Function w_RSe(bh, cb, n, mx, my)</t>
  </si>
  <si>
    <t>Function w_RHe(bh, tb, n, mx, my)</t>
  </si>
  <si>
    <t>Function As_RSe(b, h, c, fcd, N, Mx, My)</t>
  </si>
  <si>
    <t>Function As_RHe(b, h, t, fcd, N, Mx, My)</t>
  </si>
  <si>
    <t>Function w_RSd(bh, ch, n, mx, my)</t>
  </si>
  <si>
    <t>Function w_RHd(bh, th, n, mx, my)</t>
  </si>
  <si>
    <t>Function As_RSd(b, h, c, fcd, N, Mx, My)</t>
  </si>
  <si>
    <t>Function As_RHd(b, h, t, fcd, N, Mx, My)</t>
  </si>
  <si>
    <t>Function w_T(beffbw, hfd, m)</t>
  </si>
  <si>
    <t>Function w_R(m)</t>
  </si>
  <si>
    <t>Function x_T(beffbw, hfd, m)</t>
  </si>
  <si>
    <t>Function x_R(m)</t>
  </si>
  <si>
    <t>Function As_T(beff, bw, h, hf, c, fcd, M, Optional N)</t>
  </si>
  <si>
    <t>Function As_R(b, h, c, fcd, M, Optional N)</t>
  </si>
  <si>
    <t>Function As_CH(d, t, fcd, N, M)</t>
  </si>
  <si>
    <t>normalized axial (-0.6 to +0.1)</t>
  </si>
  <si>
    <t>cover over diameter (0.01 to 0.15)</t>
  </si>
  <si>
    <t>thickness over diameter (0.05 to 0.20)</t>
  </si>
  <si>
    <t>width over height (1.0 to 2.0)</t>
  </si>
  <si>
    <t>cover over width (0.01 to 0.15)</t>
  </si>
  <si>
    <t>cover over height (0.01 to 0.15)</t>
  </si>
  <si>
    <t>width over height (1.0 to 6.0)</t>
  </si>
  <si>
    <t>thickness over height (0.05 to 0.20)</t>
  </si>
  <si>
    <t>thickness over width (0.05 to 0.20)</t>
  </si>
  <si>
    <t>flange width over web width (1.0 to 10.0)</t>
  </si>
  <si>
    <t>slab thickness over effective height (0.05 to 0.25)</t>
  </si>
  <si>
    <t>input</t>
  </si>
  <si>
    <t>output</t>
  </si>
  <si>
    <t>section width</t>
  </si>
  <si>
    <t>section height</t>
  </si>
  <si>
    <t>normalized neutral axis depth (x/d)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</si>
</sst>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charset val="161"/>
      <scheme val="minor"/>
    </font>
    <font>
      <b/>
      <vertAlign val="subscript"/>
      <sz val="11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vertAlign val="subscript"/>
      <sz val="12"/>
      <color theme="1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6" borderId="0" xfId="0" applyFill="1" applyAlignment="1">
      <alignment vertical="center"/>
    </xf>
    <xf numFmtId="0" fontId="2" fillId="6" borderId="4" xfId="0" applyFont="1" applyFill="1" applyBorder="1" applyAlignment="1">
      <alignment horizontal="left" vertical="center"/>
    </xf>
    <xf numFmtId="0" fontId="0" fillId="6" borderId="5" xfId="0" applyFill="1" applyBorder="1" applyAlignment="1">
      <alignment vertical="center"/>
    </xf>
    <xf numFmtId="0" fontId="0" fillId="6" borderId="4" xfId="0" applyFill="1" applyBorder="1" applyAlignment="1">
      <alignment horizontal="left" vertical="center"/>
    </xf>
    <xf numFmtId="0" fontId="0" fillId="3" borderId="5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2" fontId="1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164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2" fontId="2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1" fontId="2" fillId="3" borderId="0" xfId="0" applyNumberFormat="1" applyFont="1" applyFill="1" applyAlignment="1" applyProtection="1">
      <alignment horizontal="center" vertical="center"/>
      <protection locked="0"/>
    </xf>
    <xf numFmtId="165" fontId="2" fillId="3" borderId="0" xfId="0" applyNumberFormat="1" applyFont="1" applyFill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2" fillId="6" borderId="0" xfId="0" applyFont="1" applyFill="1" applyAlignment="1">
      <alignment horizontal="center" vertical="center"/>
    </xf>
    <xf numFmtId="0" fontId="0" fillId="6" borderId="4" xfId="0" applyFill="1" applyBorder="1" applyAlignment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4DB01-20B8-4749-A0A0-27BC2D17D5A7}">
  <sheetPr codeName="Sheet3"/>
  <dimension ref="A1:U80"/>
  <sheetViews>
    <sheetView tabSelected="1" workbookViewId="0">
      <selection sqref="A1:R1"/>
    </sheetView>
  </sheetViews>
  <sheetFormatPr defaultColWidth="12.69140625" defaultRowHeight="20.149999999999999" customHeight="1" x14ac:dyDescent="0.4"/>
  <cols>
    <col min="1" max="9" width="10.69140625" style="1" customWidth="1"/>
    <col min="10" max="10" width="5.69140625" style="1" customWidth="1"/>
    <col min="11" max="19" width="10.69140625" style="1" customWidth="1"/>
    <col min="20" max="16384" width="12.69140625" style="1"/>
  </cols>
  <sheetData>
    <row r="1" spans="1:21" ht="20.149999999999999" customHeight="1" thickBot="1" x14ac:dyDescent="0.45">
      <c r="A1" s="35" t="s">
        <v>56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7"/>
      <c r="S1" s="28" t="s">
        <v>88</v>
      </c>
      <c r="U1" s="25"/>
    </row>
    <row r="2" spans="1:21" ht="20.149999999999999" customHeight="1" thickBot="1" x14ac:dyDescent="0.45">
      <c r="A2" s="38" t="s">
        <v>55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40"/>
      <c r="S2" s="27" t="s">
        <v>89</v>
      </c>
      <c r="U2" s="25"/>
    </row>
    <row r="3" spans="1:21" ht="20.149999999999999" customHeight="1" thickBot="1" x14ac:dyDescent="0.45"/>
    <row r="4" spans="1:21" ht="20.149999999999999" customHeight="1" x14ac:dyDescent="0.4">
      <c r="A4" s="29" t="s">
        <v>17</v>
      </c>
      <c r="B4" s="30"/>
      <c r="C4" s="30"/>
      <c r="D4" s="30"/>
      <c r="E4" s="30"/>
      <c r="F4" s="30"/>
      <c r="G4" s="30"/>
      <c r="H4" s="30"/>
      <c r="I4" s="31"/>
      <c r="K4" s="29" t="s">
        <v>29</v>
      </c>
      <c r="L4" s="30"/>
      <c r="M4" s="30"/>
      <c r="N4" s="30"/>
      <c r="O4" s="30"/>
      <c r="P4" s="30"/>
      <c r="Q4" s="30"/>
      <c r="R4" s="30"/>
      <c r="S4" s="31"/>
    </row>
    <row r="5" spans="1:21" ht="20.149999999999999" customHeight="1" x14ac:dyDescent="0.4">
      <c r="A5" s="2"/>
      <c r="B5" s="9"/>
      <c r="C5" s="9"/>
      <c r="D5" s="9"/>
      <c r="E5" s="9"/>
      <c r="F5" s="9"/>
      <c r="G5" s="9"/>
      <c r="I5" s="3"/>
      <c r="K5" s="2"/>
      <c r="L5" s="9"/>
      <c r="M5" s="9"/>
      <c r="N5" s="9"/>
      <c r="O5" s="9"/>
      <c r="P5" s="9"/>
      <c r="Q5" s="9"/>
      <c r="S5" s="3"/>
    </row>
    <row r="6" spans="1:21" ht="20.149999999999999" customHeight="1" x14ac:dyDescent="0.4">
      <c r="A6" s="32" t="s">
        <v>59</v>
      </c>
      <c r="B6" s="33"/>
      <c r="C6" s="33"/>
      <c r="D6" s="33"/>
      <c r="E6" s="33"/>
      <c r="F6" s="33"/>
      <c r="G6" s="33"/>
      <c r="H6" s="33"/>
      <c r="I6" s="34"/>
      <c r="K6" s="32" t="s">
        <v>60</v>
      </c>
      <c r="L6" s="33"/>
      <c r="M6" s="33"/>
      <c r="N6" s="33"/>
      <c r="O6" s="33"/>
      <c r="P6" s="33"/>
      <c r="Q6" s="33"/>
      <c r="R6" s="33"/>
      <c r="S6" s="34"/>
    </row>
    <row r="7" spans="1:21" ht="20.149999999999999" customHeight="1" x14ac:dyDescent="0.4">
      <c r="A7" s="7" t="s">
        <v>18</v>
      </c>
      <c r="B7" s="10">
        <v>0.05</v>
      </c>
      <c r="C7" s="11"/>
      <c r="D7" s="11" t="s">
        <v>78</v>
      </c>
      <c r="E7" s="11"/>
      <c r="F7" s="11"/>
      <c r="G7" s="11"/>
      <c r="H7" s="12"/>
      <c r="I7" s="5"/>
      <c r="K7" s="7" t="s">
        <v>30</v>
      </c>
      <c r="L7" s="10">
        <v>0.15</v>
      </c>
      <c r="M7" s="11"/>
      <c r="N7" s="11" t="s">
        <v>79</v>
      </c>
      <c r="O7" s="11"/>
      <c r="P7" s="11"/>
      <c r="Q7" s="11"/>
      <c r="R7" s="12"/>
      <c r="S7" s="5"/>
    </row>
    <row r="8" spans="1:21" ht="20.149999999999999" customHeight="1" x14ac:dyDescent="0.4">
      <c r="A8" s="7" t="s">
        <v>19</v>
      </c>
      <c r="B8" s="10">
        <v>-0.1</v>
      </c>
      <c r="C8" s="11"/>
      <c r="D8" s="11" t="s">
        <v>77</v>
      </c>
      <c r="E8" s="11"/>
      <c r="F8" s="11"/>
      <c r="G8" s="11"/>
      <c r="H8" s="12"/>
      <c r="I8" s="5"/>
      <c r="K8" s="7" t="s">
        <v>19</v>
      </c>
      <c r="L8" s="10">
        <v>-0.1</v>
      </c>
      <c r="M8" s="11"/>
      <c r="N8" s="11" t="s">
        <v>77</v>
      </c>
      <c r="O8" s="11"/>
      <c r="P8" s="11"/>
      <c r="Q8" s="11"/>
      <c r="R8" s="12"/>
      <c r="S8" s="5"/>
    </row>
    <row r="9" spans="1:21" ht="20.149999999999999" customHeight="1" x14ac:dyDescent="0.4">
      <c r="A9" s="7" t="s">
        <v>20</v>
      </c>
      <c r="B9" s="10">
        <v>0.2</v>
      </c>
      <c r="C9" s="11"/>
      <c r="D9" s="11" t="s">
        <v>22</v>
      </c>
      <c r="E9" s="11"/>
      <c r="F9" s="11"/>
      <c r="G9" s="11"/>
      <c r="H9" s="12"/>
      <c r="I9" s="5"/>
      <c r="K9" s="7" t="s">
        <v>20</v>
      </c>
      <c r="L9" s="10">
        <v>0.2</v>
      </c>
      <c r="M9" s="11"/>
      <c r="N9" s="11" t="s">
        <v>22</v>
      </c>
      <c r="O9" s="11"/>
      <c r="P9" s="11"/>
      <c r="Q9" s="11"/>
      <c r="R9" s="12"/>
      <c r="S9" s="5"/>
    </row>
    <row r="10" spans="1:21" ht="20.149999999999999" customHeight="1" x14ac:dyDescent="0.4">
      <c r="A10" s="8" t="s">
        <v>10</v>
      </c>
      <c r="B10" s="13">
        <f>w_CS(B7,B8,B9)</f>
        <v>0.49715126086470435</v>
      </c>
      <c r="C10" s="14"/>
      <c r="D10" s="14" t="s">
        <v>23</v>
      </c>
      <c r="E10" s="14"/>
      <c r="F10" s="14"/>
      <c r="G10" s="14"/>
      <c r="H10" s="15"/>
      <c r="I10" s="6"/>
      <c r="K10" s="8" t="s">
        <v>10</v>
      </c>
      <c r="L10" s="13">
        <f>w_Ch(L7,L8,L9)</f>
        <v>0.45436900578513212</v>
      </c>
      <c r="M10" s="14"/>
      <c r="N10" s="14" t="s">
        <v>23</v>
      </c>
      <c r="O10" s="14"/>
      <c r="P10" s="14"/>
      <c r="Q10" s="14"/>
      <c r="R10" s="15"/>
      <c r="S10" s="6"/>
    </row>
    <row r="11" spans="1:21" ht="20.149999999999999" customHeight="1" x14ac:dyDescent="0.4">
      <c r="A11" s="4"/>
      <c r="B11" s="9"/>
      <c r="C11" s="9"/>
      <c r="D11" s="9"/>
      <c r="E11" s="9"/>
      <c r="F11" s="9"/>
      <c r="G11" s="9"/>
      <c r="I11" s="3"/>
      <c r="K11" s="4"/>
      <c r="L11" s="9"/>
      <c r="M11" s="9"/>
      <c r="N11" s="9"/>
      <c r="O11" s="9"/>
      <c r="P11" s="9"/>
      <c r="Q11" s="9"/>
      <c r="S11" s="3"/>
    </row>
    <row r="12" spans="1:21" ht="20.149999999999999" customHeight="1" x14ac:dyDescent="0.4">
      <c r="A12" s="32" t="s">
        <v>61</v>
      </c>
      <c r="B12" s="33"/>
      <c r="C12" s="33"/>
      <c r="D12" s="33"/>
      <c r="E12" s="33"/>
      <c r="F12" s="33"/>
      <c r="G12" s="33"/>
      <c r="H12" s="33"/>
      <c r="I12" s="34"/>
      <c r="K12" s="32" t="s">
        <v>76</v>
      </c>
      <c r="L12" s="33"/>
      <c r="M12" s="33"/>
      <c r="N12" s="33"/>
      <c r="O12" s="33"/>
      <c r="P12" s="33"/>
      <c r="Q12" s="33"/>
      <c r="R12" s="33"/>
      <c r="S12" s="34"/>
    </row>
    <row r="13" spans="1:21" ht="20.149999999999999" customHeight="1" x14ac:dyDescent="0.4">
      <c r="A13" s="7" t="s">
        <v>1</v>
      </c>
      <c r="B13" s="16">
        <v>0.7</v>
      </c>
      <c r="C13" s="17" t="s">
        <v>0</v>
      </c>
      <c r="D13" s="11" t="s">
        <v>24</v>
      </c>
      <c r="E13" s="11"/>
      <c r="F13" s="11"/>
      <c r="G13" s="11"/>
      <c r="H13" s="12"/>
      <c r="I13" s="5"/>
      <c r="K13" s="7" t="s">
        <v>1</v>
      </c>
      <c r="L13" s="16">
        <v>0.7</v>
      </c>
      <c r="M13" s="17" t="s">
        <v>0</v>
      </c>
      <c r="N13" s="11" t="s">
        <v>24</v>
      </c>
      <c r="O13" s="11"/>
      <c r="P13" s="11"/>
      <c r="Q13" s="11"/>
      <c r="R13" s="12"/>
      <c r="S13" s="5"/>
    </row>
    <row r="14" spans="1:21" ht="20.149999999999999" customHeight="1" x14ac:dyDescent="0.4">
      <c r="A14" s="7" t="s">
        <v>2</v>
      </c>
      <c r="B14" s="18">
        <v>5</v>
      </c>
      <c r="C14" s="17" t="s">
        <v>6</v>
      </c>
      <c r="D14" s="11" t="s">
        <v>25</v>
      </c>
      <c r="E14" s="11"/>
      <c r="F14" s="11"/>
      <c r="G14" s="11"/>
      <c r="H14" s="12"/>
      <c r="I14" s="5"/>
      <c r="K14" s="7" t="s">
        <v>2</v>
      </c>
      <c r="L14" s="18">
        <v>10</v>
      </c>
      <c r="M14" s="17" t="s">
        <v>6</v>
      </c>
      <c r="N14" s="11" t="s">
        <v>31</v>
      </c>
      <c r="O14" s="11"/>
      <c r="P14" s="11"/>
      <c r="Q14" s="11"/>
      <c r="R14" s="12"/>
      <c r="S14" s="5"/>
    </row>
    <row r="15" spans="1:21" ht="20.149999999999999" customHeight="1" x14ac:dyDescent="0.4">
      <c r="A15" s="7" t="s">
        <v>9</v>
      </c>
      <c r="B15" s="18">
        <v>20</v>
      </c>
      <c r="C15" s="17" t="s">
        <v>5</v>
      </c>
      <c r="D15" s="11" t="s">
        <v>26</v>
      </c>
      <c r="E15" s="11"/>
      <c r="F15" s="11"/>
      <c r="G15" s="11"/>
      <c r="H15" s="12"/>
      <c r="I15" s="5"/>
      <c r="K15" s="7" t="s">
        <v>9</v>
      </c>
      <c r="L15" s="18">
        <v>20</v>
      </c>
      <c r="M15" s="17" t="s">
        <v>5</v>
      </c>
      <c r="N15" s="11" t="s">
        <v>26</v>
      </c>
      <c r="O15" s="11"/>
      <c r="P15" s="11"/>
      <c r="Q15" s="11"/>
      <c r="R15" s="12"/>
      <c r="S15" s="5"/>
    </row>
    <row r="16" spans="1:21" ht="20.149999999999999" customHeight="1" x14ac:dyDescent="0.4">
      <c r="A16" s="7" t="s">
        <v>3</v>
      </c>
      <c r="B16" s="19">
        <v>-1500</v>
      </c>
      <c r="C16" s="17" t="s">
        <v>7</v>
      </c>
      <c r="D16" s="11" t="s">
        <v>27</v>
      </c>
      <c r="E16" s="11"/>
      <c r="F16" s="11"/>
      <c r="G16" s="11"/>
      <c r="H16" s="12"/>
      <c r="I16" s="5"/>
      <c r="K16" s="7" t="s">
        <v>3</v>
      </c>
      <c r="L16" s="19">
        <v>-1500</v>
      </c>
      <c r="M16" s="17" t="s">
        <v>7</v>
      </c>
      <c r="N16" s="11" t="s">
        <v>27</v>
      </c>
      <c r="O16" s="11"/>
      <c r="P16" s="11"/>
      <c r="Q16" s="11"/>
      <c r="R16" s="12"/>
      <c r="S16" s="5"/>
    </row>
    <row r="17" spans="1:19" ht="20.149999999999999" customHeight="1" x14ac:dyDescent="0.4">
      <c r="A17" s="7" t="s">
        <v>4</v>
      </c>
      <c r="B17" s="19">
        <v>400</v>
      </c>
      <c r="C17" s="17" t="s">
        <v>8</v>
      </c>
      <c r="D17" s="12" t="s">
        <v>28</v>
      </c>
      <c r="E17" s="12"/>
      <c r="F17" s="12"/>
      <c r="G17" s="12"/>
      <c r="H17" s="12"/>
      <c r="I17" s="5"/>
      <c r="K17" s="7" t="s">
        <v>4</v>
      </c>
      <c r="L17" s="19">
        <v>400</v>
      </c>
      <c r="M17" s="17" t="s">
        <v>8</v>
      </c>
      <c r="N17" s="12" t="s">
        <v>28</v>
      </c>
      <c r="O17" s="12"/>
      <c r="P17" s="12"/>
      <c r="Q17" s="12"/>
      <c r="R17" s="12"/>
      <c r="S17" s="5"/>
    </row>
    <row r="18" spans="1:19" ht="20.149999999999999" customHeight="1" thickBot="1" x14ac:dyDescent="0.45">
      <c r="A18" s="20" t="s">
        <v>21</v>
      </c>
      <c r="B18" s="21">
        <f>As_CS(B13,B14/100,B15*1000,B16,B17)*10000</f>
        <v>3.7431890578090639</v>
      </c>
      <c r="C18" s="22" t="s">
        <v>16</v>
      </c>
      <c r="D18" s="23" t="s">
        <v>57</v>
      </c>
      <c r="E18" s="23"/>
      <c r="F18" s="23"/>
      <c r="G18" s="23"/>
      <c r="H18" s="23"/>
      <c r="I18" s="24"/>
      <c r="K18" s="20" t="s">
        <v>21</v>
      </c>
      <c r="L18" s="21">
        <f>As_CH(L13,L14/100,L15*1000,L16,L17)*10000</f>
        <v>7.6333744597720123</v>
      </c>
      <c r="M18" s="22" t="s">
        <v>16</v>
      </c>
      <c r="N18" s="23" t="s">
        <v>57</v>
      </c>
      <c r="O18" s="23"/>
      <c r="P18" s="23"/>
      <c r="Q18" s="23"/>
      <c r="R18" s="23"/>
      <c r="S18" s="24"/>
    </row>
    <row r="19" spans="1:19" ht="30" customHeight="1" thickBot="1" x14ac:dyDescent="0.45"/>
    <row r="20" spans="1:19" ht="20.149999999999999" customHeight="1" x14ac:dyDescent="0.4">
      <c r="A20" s="29" t="s">
        <v>32</v>
      </c>
      <c r="B20" s="30"/>
      <c r="C20" s="30"/>
      <c r="D20" s="30"/>
      <c r="E20" s="30"/>
      <c r="F20" s="30"/>
      <c r="G20" s="30"/>
      <c r="H20" s="30"/>
      <c r="I20" s="31"/>
      <c r="K20" s="29" t="s">
        <v>39</v>
      </c>
      <c r="L20" s="30"/>
      <c r="M20" s="30"/>
      <c r="N20" s="30"/>
      <c r="O20" s="30"/>
      <c r="P20" s="30"/>
      <c r="Q20" s="30"/>
      <c r="R20" s="30"/>
      <c r="S20" s="31"/>
    </row>
    <row r="21" spans="1:19" ht="20.149999999999999" customHeight="1" x14ac:dyDescent="0.4">
      <c r="A21" s="2"/>
      <c r="B21" s="9"/>
      <c r="C21" s="9"/>
      <c r="D21" s="9"/>
      <c r="E21" s="9"/>
      <c r="F21" s="9"/>
      <c r="G21" s="9"/>
      <c r="I21" s="3"/>
      <c r="K21" s="2"/>
      <c r="L21" s="9"/>
      <c r="M21" s="9"/>
      <c r="N21" s="9"/>
      <c r="O21" s="9"/>
      <c r="P21" s="9"/>
      <c r="Q21" s="9"/>
      <c r="S21" s="3"/>
    </row>
    <row r="22" spans="1:19" ht="20.149999999999999" customHeight="1" x14ac:dyDescent="0.4">
      <c r="A22" s="32" t="s">
        <v>62</v>
      </c>
      <c r="B22" s="33"/>
      <c r="C22" s="33"/>
      <c r="D22" s="33"/>
      <c r="E22" s="33"/>
      <c r="F22" s="33"/>
      <c r="G22" s="33"/>
      <c r="H22" s="33"/>
      <c r="I22" s="34"/>
      <c r="K22" s="32" t="s">
        <v>63</v>
      </c>
      <c r="L22" s="33"/>
      <c r="M22" s="33"/>
      <c r="N22" s="33"/>
      <c r="O22" s="33"/>
      <c r="P22" s="33"/>
      <c r="Q22" s="33"/>
      <c r="R22" s="33"/>
      <c r="S22" s="34"/>
    </row>
    <row r="23" spans="1:19" ht="20.149999999999999" customHeight="1" x14ac:dyDescent="0.4">
      <c r="A23" s="7" t="s">
        <v>33</v>
      </c>
      <c r="B23" s="10">
        <v>1.5</v>
      </c>
      <c r="C23" s="11"/>
      <c r="D23" s="11" t="s">
        <v>80</v>
      </c>
      <c r="E23" s="11"/>
      <c r="F23" s="11"/>
      <c r="G23" s="11"/>
      <c r="H23" s="12"/>
      <c r="I23" s="5"/>
      <c r="K23" s="7" t="s">
        <v>33</v>
      </c>
      <c r="L23" s="10">
        <v>1.5</v>
      </c>
      <c r="M23" s="11"/>
      <c r="N23" s="11" t="s">
        <v>80</v>
      </c>
      <c r="O23" s="11"/>
      <c r="P23" s="11"/>
      <c r="Q23" s="11"/>
      <c r="R23" s="12"/>
      <c r="S23" s="5"/>
    </row>
    <row r="24" spans="1:19" ht="20.149999999999999" customHeight="1" x14ac:dyDescent="0.4">
      <c r="A24" s="7" t="s">
        <v>34</v>
      </c>
      <c r="B24" s="10">
        <v>0.1</v>
      </c>
      <c r="C24" s="11"/>
      <c r="D24" s="11" t="s">
        <v>81</v>
      </c>
      <c r="E24" s="11"/>
      <c r="F24" s="11"/>
      <c r="G24" s="11"/>
      <c r="H24" s="12"/>
      <c r="I24" s="5"/>
      <c r="K24" s="7" t="s">
        <v>40</v>
      </c>
      <c r="L24" s="10">
        <v>0.1</v>
      </c>
      <c r="M24" s="11"/>
      <c r="N24" s="11" t="s">
        <v>85</v>
      </c>
      <c r="O24" s="11"/>
      <c r="P24" s="11"/>
      <c r="Q24" s="11"/>
      <c r="R24" s="12"/>
      <c r="S24" s="5"/>
    </row>
    <row r="25" spans="1:19" ht="20.149999999999999" customHeight="1" x14ac:dyDescent="0.4">
      <c r="A25" s="7" t="s">
        <v>19</v>
      </c>
      <c r="B25" s="10">
        <v>-0.2</v>
      </c>
      <c r="C25" s="11"/>
      <c r="D25" s="11" t="s">
        <v>77</v>
      </c>
      <c r="E25" s="11"/>
      <c r="F25" s="11"/>
      <c r="G25" s="11"/>
      <c r="H25" s="12"/>
      <c r="I25" s="5"/>
      <c r="K25" s="7" t="s">
        <v>19</v>
      </c>
      <c r="L25" s="10">
        <v>-0.2</v>
      </c>
      <c r="M25" s="11"/>
      <c r="N25" s="11" t="s">
        <v>77</v>
      </c>
      <c r="O25" s="11"/>
      <c r="P25" s="11"/>
      <c r="Q25" s="11"/>
      <c r="R25" s="12"/>
      <c r="S25" s="5"/>
    </row>
    <row r="26" spans="1:19" ht="20.149999999999999" customHeight="1" x14ac:dyDescent="0.4">
      <c r="A26" s="7" t="s">
        <v>35</v>
      </c>
      <c r="B26" s="10">
        <v>0.2</v>
      </c>
      <c r="C26" s="11"/>
      <c r="D26" s="11" t="s">
        <v>22</v>
      </c>
      <c r="E26" s="11"/>
      <c r="F26" s="11"/>
      <c r="G26" s="11"/>
      <c r="H26" s="12"/>
      <c r="I26" s="5"/>
      <c r="K26" s="7" t="s">
        <v>35</v>
      </c>
      <c r="L26" s="10">
        <v>0.2</v>
      </c>
      <c r="M26" s="11"/>
      <c r="N26" s="11" t="s">
        <v>22</v>
      </c>
      <c r="O26" s="11"/>
      <c r="P26" s="11"/>
      <c r="Q26" s="11"/>
      <c r="R26" s="12"/>
      <c r="S26" s="5"/>
    </row>
    <row r="27" spans="1:19" ht="20.149999999999999" customHeight="1" x14ac:dyDescent="0.4">
      <c r="A27" s="7" t="s">
        <v>36</v>
      </c>
      <c r="B27" s="10">
        <v>0.05</v>
      </c>
      <c r="C27" s="11"/>
      <c r="D27" s="11" t="s">
        <v>22</v>
      </c>
      <c r="E27" s="11"/>
      <c r="F27" s="11"/>
      <c r="G27" s="11"/>
      <c r="H27" s="12"/>
      <c r="I27" s="5"/>
      <c r="K27" s="7" t="s">
        <v>36</v>
      </c>
      <c r="L27" s="10">
        <v>0.05</v>
      </c>
      <c r="M27" s="11"/>
      <c r="N27" s="11" t="s">
        <v>22</v>
      </c>
      <c r="O27" s="11"/>
      <c r="P27" s="11"/>
      <c r="Q27" s="11"/>
      <c r="R27" s="12"/>
      <c r="S27" s="5"/>
    </row>
    <row r="28" spans="1:19" ht="20.149999999999999" customHeight="1" x14ac:dyDescent="0.4">
      <c r="A28" s="8" t="s">
        <v>10</v>
      </c>
      <c r="B28" s="13">
        <f>w_RSe(B23,B24,B25,B26,B27)</f>
        <v>0.48491480222179184</v>
      </c>
      <c r="C28" s="14"/>
      <c r="D28" s="14" t="s">
        <v>23</v>
      </c>
      <c r="E28" s="14"/>
      <c r="F28" s="14"/>
      <c r="G28" s="14"/>
      <c r="H28" s="15"/>
      <c r="I28" s="6"/>
      <c r="K28" s="8" t="s">
        <v>10</v>
      </c>
      <c r="L28" s="13">
        <f>w_RHe(L23,L24,L25,L26,L27)</f>
        <v>0.29744351981312711</v>
      </c>
      <c r="M28" s="14"/>
      <c r="N28" s="14" t="s">
        <v>23</v>
      </c>
      <c r="O28" s="14"/>
      <c r="P28" s="14"/>
      <c r="Q28" s="14"/>
      <c r="R28" s="15"/>
      <c r="S28" s="6"/>
    </row>
    <row r="29" spans="1:19" ht="20.149999999999999" customHeight="1" x14ac:dyDescent="0.4">
      <c r="A29" s="4"/>
      <c r="B29" s="9"/>
      <c r="C29" s="9"/>
      <c r="D29" s="9"/>
      <c r="E29" s="9"/>
      <c r="F29" s="9"/>
      <c r="G29" s="9"/>
      <c r="I29" s="3"/>
      <c r="K29" s="4"/>
      <c r="L29" s="9"/>
      <c r="M29" s="9"/>
      <c r="N29" s="9"/>
      <c r="O29" s="9"/>
      <c r="P29" s="9"/>
      <c r="Q29" s="9"/>
      <c r="S29" s="3"/>
    </row>
    <row r="30" spans="1:19" ht="20.149999999999999" customHeight="1" x14ac:dyDescent="0.4">
      <c r="A30" s="32" t="s">
        <v>64</v>
      </c>
      <c r="B30" s="33"/>
      <c r="C30" s="33"/>
      <c r="D30" s="33"/>
      <c r="E30" s="33"/>
      <c r="F30" s="33"/>
      <c r="G30" s="33"/>
      <c r="H30" s="33"/>
      <c r="I30" s="34"/>
      <c r="K30" s="32" t="s">
        <v>65</v>
      </c>
      <c r="L30" s="33"/>
      <c r="M30" s="33"/>
      <c r="N30" s="33"/>
      <c r="O30" s="33"/>
      <c r="P30" s="33"/>
      <c r="Q30" s="33"/>
      <c r="R30" s="33"/>
      <c r="S30" s="34"/>
    </row>
    <row r="31" spans="1:19" ht="20.149999999999999" customHeight="1" x14ac:dyDescent="0.4">
      <c r="A31" s="7" t="s">
        <v>12</v>
      </c>
      <c r="B31" s="16">
        <v>0.7</v>
      </c>
      <c r="C31" s="17" t="s">
        <v>0</v>
      </c>
      <c r="D31" s="11" t="s">
        <v>37</v>
      </c>
      <c r="E31" s="11"/>
      <c r="F31" s="11"/>
      <c r="G31" s="11"/>
      <c r="H31" s="12"/>
      <c r="I31" s="5"/>
      <c r="K31" s="7" t="s">
        <v>12</v>
      </c>
      <c r="L31" s="16">
        <v>0.7</v>
      </c>
      <c r="M31" s="17" t="s">
        <v>0</v>
      </c>
      <c r="N31" s="11" t="s">
        <v>37</v>
      </c>
      <c r="O31" s="11"/>
      <c r="P31" s="11"/>
      <c r="Q31" s="11"/>
      <c r="R31" s="12"/>
      <c r="S31" s="5"/>
    </row>
    <row r="32" spans="1:19" ht="20.149999999999999" customHeight="1" x14ac:dyDescent="0.4">
      <c r="A32" s="7" t="s">
        <v>13</v>
      </c>
      <c r="B32" s="16">
        <v>0.5</v>
      </c>
      <c r="C32" s="17" t="s">
        <v>0</v>
      </c>
      <c r="D32" s="11" t="s">
        <v>38</v>
      </c>
      <c r="E32" s="11"/>
      <c r="F32" s="11"/>
      <c r="G32" s="11"/>
      <c r="H32" s="12"/>
      <c r="I32" s="5"/>
      <c r="K32" s="7" t="s">
        <v>13</v>
      </c>
      <c r="L32" s="16">
        <v>0.5</v>
      </c>
      <c r="M32" s="17" t="s">
        <v>0</v>
      </c>
      <c r="N32" s="11" t="s">
        <v>38</v>
      </c>
      <c r="O32" s="11"/>
      <c r="P32" s="11"/>
      <c r="Q32" s="11"/>
      <c r="R32" s="12"/>
      <c r="S32" s="5"/>
    </row>
    <row r="33" spans="1:19" ht="20.149999999999999" customHeight="1" x14ac:dyDescent="0.4">
      <c r="A33" s="7" t="s">
        <v>2</v>
      </c>
      <c r="B33" s="18">
        <v>5</v>
      </c>
      <c r="C33" s="17" t="s">
        <v>6</v>
      </c>
      <c r="D33" s="11" t="s">
        <v>25</v>
      </c>
      <c r="E33" s="11"/>
      <c r="F33" s="11"/>
      <c r="G33" s="11"/>
      <c r="H33" s="12"/>
      <c r="I33" s="5"/>
      <c r="K33" s="7" t="s">
        <v>11</v>
      </c>
      <c r="L33" s="18">
        <v>10</v>
      </c>
      <c r="M33" s="17" t="s">
        <v>6</v>
      </c>
      <c r="N33" s="11" t="s">
        <v>31</v>
      </c>
      <c r="O33" s="11"/>
      <c r="P33" s="11"/>
      <c r="Q33" s="11"/>
      <c r="R33" s="12"/>
      <c r="S33" s="5"/>
    </row>
    <row r="34" spans="1:19" ht="20.149999999999999" customHeight="1" x14ac:dyDescent="0.4">
      <c r="A34" s="7" t="s">
        <v>9</v>
      </c>
      <c r="B34" s="18">
        <v>20</v>
      </c>
      <c r="C34" s="17" t="s">
        <v>5</v>
      </c>
      <c r="D34" s="11" t="s">
        <v>26</v>
      </c>
      <c r="E34" s="11"/>
      <c r="F34" s="11"/>
      <c r="G34" s="11"/>
      <c r="H34" s="12"/>
      <c r="I34" s="5"/>
      <c r="K34" s="7" t="s">
        <v>9</v>
      </c>
      <c r="L34" s="18">
        <v>20</v>
      </c>
      <c r="M34" s="17" t="s">
        <v>5</v>
      </c>
      <c r="N34" s="11" t="s">
        <v>26</v>
      </c>
      <c r="O34" s="11"/>
      <c r="P34" s="11"/>
      <c r="Q34" s="11"/>
      <c r="R34" s="12"/>
      <c r="S34" s="5"/>
    </row>
    <row r="35" spans="1:19" ht="20.149999999999999" customHeight="1" x14ac:dyDescent="0.4">
      <c r="A35" s="7" t="s">
        <v>3</v>
      </c>
      <c r="B35" s="19">
        <v>-2000</v>
      </c>
      <c r="C35" s="17" t="s">
        <v>7</v>
      </c>
      <c r="D35" s="11" t="s">
        <v>27</v>
      </c>
      <c r="E35" s="11"/>
      <c r="F35" s="11"/>
      <c r="G35" s="11"/>
      <c r="H35" s="12"/>
      <c r="I35" s="5"/>
      <c r="K35" s="7" t="s">
        <v>3</v>
      </c>
      <c r="L35" s="19">
        <v>-2000</v>
      </c>
      <c r="M35" s="17" t="s">
        <v>7</v>
      </c>
      <c r="N35" s="11" t="s">
        <v>27</v>
      </c>
      <c r="O35" s="11"/>
      <c r="P35" s="11"/>
      <c r="Q35" s="11"/>
      <c r="R35" s="12"/>
      <c r="S35" s="5"/>
    </row>
    <row r="36" spans="1:19" ht="20.149999999999999" customHeight="1" x14ac:dyDescent="0.4">
      <c r="A36" s="7" t="s">
        <v>14</v>
      </c>
      <c r="B36" s="19">
        <v>400</v>
      </c>
      <c r="C36" s="17" t="s">
        <v>8</v>
      </c>
      <c r="D36" s="11" t="s">
        <v>28</v>
      </c>
      <c r="E36" s="11"/>
      <c r="F36" s="11"/>
      <c r="G36" s="11"/>
      <c r="H36" s="12"/>
      <c r="I36" s="5"/>
      <c r="K36" s="7" t="s">
        <v>14</v>
      </c>
      <c r="L36" s="19">
        <v>400</v>
      </c>
      <c r="M36" s="17" t="s">
        <v>8</v>
      </c>
      <c r="N36" s="11" t="s">
        <v>28</v>
      </c>
      <c r="O36" s="11"/>
      <c r="P36" s="11"/>
      <c r="Q36" s="11"/>
      <c r="R36" s="12"/>
      <c r="S36" s="5"/>
    </row>
    <row r="37" spans="1:19" ht="20.149999999999999" customHeight="1" x14ac:dyDescent="0.4">
      <c r="A37" s="7" t="s">
        <v>15</v>
      </c>
      <c r="B37" s="19">
        <v>100</v>
      </c>
      <c r="C37" s="17" t="s">
        <v>8</v>
      </c>
      <c r="D37" s="12" t="s">
        <v>28</v>
      </c>
      <c r="E37" s="12"/>
      <c r="F37" s="12"/>
      <c r="G37" s="12"/>
      <c r="H37" s="12"/>
      <c r="I37" s="5"/>
      <c r="K37" s="7" t="s">
        <v>15</v>
      </c>
      <c r="L37" s="19">
        <v>100</v>
      </c>
      <c r="M37" s="17" t="s">
        <v>8</v>
      </c>
      <c r="N37" s="12" t="s">
        <v>28</v>
      </c>
      <c r="O37" s="12"/>
      <c r="P37" s="12"/>
      <c r="Q37" s="12"/>
      <c r="R37" s="12"/>
      <c r="S37" s="5"/>
    </row>
    <row r="38" spans="1:19" ht="20.149999999999999" customHeight="1" thickBot="1" x14ac:dyDescent="0.45">
      <c r="A38" s="20" t="s">
        <v>21</v>
      </c>
      <c r="B38" s="21">
        <f>As_RSe(B31,B32,B33/100,B34*1000,B35,B36,B37)*10000</f>
        <v>8.9314138602456836</v>
      </c>
      <c r="C38" s="22" t="s">
        <v>16</v>
      </c>
      <c r="D38" s="23" t="s">
        <v>57</v>
      </c>
      <c r="E38" s="23"/>
      <c r="F38" s="23"/>
      <c r="G38" s="23"/>
      <c r="H38" s="23"/>
      <c r="I38" s="24"/>
      <c r="K38" s="20" t="s">
        <v>21</v>
      </c>
      <c r="L38" s="21">
        <f>As_RHe(L31,L32,L33/100,L34*1000,L35,L36,L37)*10000</f>
        <v>17.661155929753182</v>
      </c>
      <c r="M38" s="22" t="s">
        <v>16</v>
      </c>
      <c r="N38" s="23" t="s">
        <v>57</v>
      </c>
      <c r="O38" s="23"/>
      <c r="P38" s="23"/>
      <c r="Q38" s="23"/>
      <c r="R38" s="23"/>
      <c r="S38" s="24"/>
    </row>
    <row r="39" spans="1:19" ht="30" customHeight="1" thickBot="1" x14ac:dyDescent="0.45"/>
    <row r="40" spans="1:19" ht="20.149999999999999" customHeight="1" x14ac:dyDescent="0.4">
      <c r="A40" s="29" t="s">
        <v>41</v>
      </c>
      <c r="B40" s="30"/>
      <c r="C40" s="30"/>
      <c r="D40" s="30"/>
      <c r="E40" s="30"/>
      <c r="F40" s="30"/>
      <c r="G40" s="30"/>
      <c r="H40" s="30"/>
      <c r="I40" s="31"/>
      <c r="K40" s="29" t="s">
        <v>42</v>
      </c>
      <c r="L40" s="30"/>
      <c r="M40" s="30"/>
      <c r="N40" s="30"/>
      <c r="O40" s="30"/>
      <c r="P40" s="30"/>
      <c r="Q40" s="30"/>
      <c r="R40" s="30"/>
      <c r="S40" s="31"/>
    </row>
    <row r="41" spans="1:19" ht="20.149999999999999" customHeight="1" x14ac:dyDescent="0.4">
      <c r="A41" s="2"/>
      <c r="B41" s="9"/>
      <c r="C41" s="9"/>
      <c r="D41" s="9"/>
      <c r="E41" s="9"/>
      <c r="F41" s="9"/>
      <c r="G41" s="9"/>
      <c r="I41" s="3"/>
      <c r="K41" s="2"/>
      <c r="L41" s="9"/>
      <c r="M41" s="9"/>
      <c r="N41" s="9"/>
      <c r="O41" s="9"/>
      <c r="P41" s="9"/>
      <c r="Q41" s="9"/>
      <c r="S41" s="3"/>
    </row>
    <row r="42" spans="1:19" ht="20.149999999999999" customHeight="1" x14ac:dyDescent="0.4">
      <c r="A42" s="32" t="s">
        <v>66</v>
      </c>
      <c r="B42" s="33"/>
      <c r="C42" s="33"/>
      <c r="D42" s="33"/>
      <c r="E42" s="33"/>
      <c r="F42" s="33"/>
      <c r="G42" s="33"/>
      <c r="H42" s="33"/>
      <c r="I42" s="34"/>
      <c r="K42" s="32" t="s">
        <v>67</v>
      </c>
      <c r="L42" s="33"/>
      <c r="M42" s="33"/>
      <c r="N42" s="33"/>
      <c r="O42" s="33"/>
      <c r="P42" s="33"/>
      <c r="Q42" s="33"/>
      <c r="R42" s="33"/>
      <c r="S42" s="34"/>
    </row>
    <row r="43" spans="1:19" ht="20.149999999999999" customHeight="1" x14ac:dyDescent="0.4">
      <c r="A43" s="7" t="s">
        <v>33</v>
      </c>
      <c r="B43" s="10">
        <v>1.5</v>
      </c>
      <c r="C43" s="11"/>
      <c r="D43" s="11" t="s">
        <v>83</v>
      </c>
      <c r="E43" s="11"/>
      <c r="F43" s="11"/>
      <c r="G43" s="11"/>
      <c r="H43" s="12"/>
      <c r="I43" s="5"/>
      <c r="K43" s="7" t="s">
        <v>33</v>
      </c>
      <c r="L43" s="10">
        <v>1.5</v>
      </c>
      <c r="M43" s="11"/>
      <c r="N43" s="11" t="s">
        <v>83</v>
      </c>
      <c r="O43" s="11"/>
      <c r="P43" s="11"/>
      <c r="Q43" s="11"/>
      <c r="R43" s="12"/>
      <c r="S43" s="5"/>
    </row>
    <row r="44" spans="1:19" ht="20.149999999999999" customHeight="1" x14ac:dyDescent="0.4">
      <c r="A44" s="7" t="s">
        <v>43</v>
      </c>
      <c r="B44" s="10">
        <v>0.15</v>
      </c>
      <c r="C44" s="11"/>
      <c r="D44" s="11" t="s">
        <v>82</v>
      </c>
      <c r="E44" s="11"/>
      <c r="F44" s="11"/>
      <c r="G44" s="11"/>
      <c r="H44" s="12"/>
      <c r="I44" s="5"/>
      <c r="K44" s="7" t="s">
        <v>44</v>
      </c>
      <c r="L44" s="10">
        <v>0.15</v>
      </c>
      <c r="M44" s="11"/>
      <c r="N44" s="11" t="s">
        <v>84</v>
      </c>
      <c r="O44" s="11"/>
      <c r="P44" s="11"/>
      <c r="Q44" s="11"/>
      <c r="R44" s="12"/>
      <c r="S44" s="5"/>
    </row>
    <row r="45" spans="1:19" ht="20.149999999999999" customHeight="1" x14ac:dyDescent="0.4">
      <c r="A45" s="7" t="s">
        <v>19</v>
      </c>
      <c r="B45" s="10">
        <v>-0.2</v>
      </c>
      <c r="C45" s="11"/>
      <c r="D45" s="11" t="s">
        <v>77</v>
      </c>
      <c r="E45" s="11"/>
      <c r="F45" s="11"/>
      <c r="G45" s="11"/>
      <c r="H45" s="12"/>
      <c r="I45" s="5"/>
      <c r="K45" s="7" t="s">
        <v>19</v>
      </c>
      <c r="L45" s="10">
        <v>-0.2</v>
      </c>
      <c r="M45" s="11"/>
      <c r="N45" s="11" t="s">
        <v>77</v>
      </c>
      <c r="O45" s="11"/>
      <c r="P45" s="11"/>
      <c r="Q45" s="11"/>
      <c r="R45" s="12"/>
      <c r="S45" s="5"/>
    </row>
    <row r="46" spans="1:19" ht="20.149999999999999" customHeight="1" x14ac:dyDescent="0.4">
      <c r="A46" s="7" t="s">
        <v>35</v>
      </c>
      <c r="B46" s="10">
        <v>0.2</v>
      </c>
      <c r="C46" s="11"/>
      <c r="D46" s="11" t="s">
        <v>22</v>
      </c>
      <c r="E46" s="11"/>
      <c r="F46" s="11"/>
      <c r="G46" s="11"/>
      <c r="H46" s="12"/>
      <c r="I46" s="5"/>
      <c r="K46" s="7" t="s">
        <v>35</v>
      </c>
      <c r="L46" s="10">
        <v>0.2</v>
      </c>
      <c r="M46" s="11"/>
      <c r="N46" s="11" t="s">
        <v>22</v>
      </c>
      <c r="O46" s="11"/>
      <c r="P46" s="11"/>
      <c r="Q46" s="11"/>
      <c r="R46" s="12"/>
      <c r="S46" s="5"/>
    </row>
    <row r="47" spans="1:19" ht="20.149999999999999" customHeight="1" x14ac:dyDescent="0.4">
      <c r="A47" s="7" t="s">
        <v>36</v>
      </c>
      <c r="B47" s="10">
        <v>0.05</v>
      </c>
      <c r="C47" s="11"/>
      <c r="D47" s="11" t="s">
        <v>22</v>
      </c>
      <c r="E47" s="11"/>
      <c r="F47" s="11"/>
      <c r="G47" s="11"/>
      <c r="H47" s="12"/>
      <c r="I47" s="5"/>
      <c r="K47" s="7" t="s">
        <v>36</v>
      </c>
      <c r="L47" s="10">
        <v>0.05</v>
      </c>
      <c r="M47" s="11"/>
      <c r="N47" s="11" t="s">
        <v>22</v>
      </c>
      <c r="O47" s="11"/>
      <c r="P47" s="11"/>
      <c r="Q47" s="11"/>
      <c r="R47" s="12"/>
      <c r="S47" s="5"/>
    </row>
    <row r="48" spans="1:19" ht="20.149999999999999" customHeight="1" x14ac:dyDescent="0.4">
      <c r="A48" s="8" t="s">
        <v>10</v>
      </c>
      <c r="B48" s="13">
        <f>w_RSd(B43,B44,B45,B46,B47)</f>
        <v>0.45520121109749911</v>
      </c>
      <c r="C48" s="14"/>
      <c r="D48" s="14" t="s">
        <v>23</v>
      </c>
      <c r="E48" s="14"/>
      <c r="F48" s="14"/>
      <c r="G48" s="14"/>
      <c r="H48" s="15"/>
      <c r="I48" s="6"/>
      <c r="K48" s="8" t="s">
        <v>10</v>
      </c>
      <c r="L48" s="13">
        <f>w_RHd(L43,L44,L45,L46,L47)</f>
        <v>0.28996725233556631</v>
      </c>
      <c r="M48" s="14"/>
      <c r="N48" s="14" t="s">
        <v>23</v>
      </c>
      <c r="O48" s="14"/>
      <c r="P48" s="14"/>
      <c r="Q48" s="14"/>
      <c r="R48" s="15"/>
      <c r="S48" s="6"/>
    </row>
    <row r="49" spans="1:19" ht="20.149999999999999" customHeight="1" x14ac:dyDescent="0.4">
      <c r="A49" s="4"/>
      <c r="B49" s="9"/>
      <c r="C49" s="9"/>
      <c r="D49" s="9"/>
      <c r="E49" s="9"/>
      <c r="F49" s="9"/>
      <c r="G49" s="9"/>
      <c r="I49" s="3"/>
      <c r="K49" s="4"/>
      <c r="L49" s="9"/>
      <c r="M49" s="9"/>
      <c r="N49" s="9"/>
      <c r="O49" s="9"/>
      <c r="P49" s="9"/>
      <c r="Q49" s="9"/>
      <c r="S49" s="3"/>
    </row>
    <row r="50" spans="1:19" ht="20.149999999999999" customHeight="1" x14ac:dyDescent="0.4">
      <c r="A50" s="32" t="s">
        <v>68</v>
      </c>
      <c r="B50" s="33"/>
      <c r="C50" s="33"/>
      <c r="D50" s="33"/>
      <c r="E50" s="33"/>
      <c r="F50" s="33"/>
      <c r="G50" s="33"/>
      <c r="H50" s="33"/>
      <c r="I50" s="34"/>
      <c r="K50" s="32" t="s">
        <v>69</v>
      </c>
      <c r="L50" s="33"/>
      <c r="M50" s="33"/>
      <c r="N50" s="33"/>
      <c r="O50" s="33"/>
      <c r="P50" s="33"/>
      <c r="Q50" s="33"/>
      <c r="R50" s="33"/>
      <c r="S50" s="34"/>
    </row>
    <row r="51" spans="1:19" ht="20.149999999999999" customHeight="1" x14ac:dyDescent="0.4">
      <c r="A51" s="7" t="s">
        <v>12</v>
      </c>
      <c r="B51" s="16">
        <v>0.7</v>
      </c>
      <c r="C51" s="17" t="s">
        <v>0</v>
      </c>
      <c r="D51" s="11" t="s">
        <v>37</v>
      </c>
      <c r="E51" s="11"/>
      <c r="F51" s="11"/>
      <c r="G51" s="11"/>
      <c r="H51" s="12"/>
      <c r="I51" s="5"/>
      <c r="K51" s="7" t="s">
        <v>12</v>
      </c>
      <c r="L51" s="16">
        <v>0.7</v>
      </c>
      <c r="M51" s="17" t="s">
        <v>0</v>
      </c>
      <c r="N51" s="11" t="s">
        <v>37</v>
      </c>
      <c r="O51" s="11"/>
      <c r="P51" s="11"/>
      <c r="Q51" s="11"/>
      <c r="R51" s="12"/>
      <c r="S51" s="5"/>
    </row>
    <row r="52" spans="1:19" ht="20.149999999999999" customHeight="1" x14ac:dyDescent="0.4">
      <c r="A52" s="7" t="s">
        <v>13</v>
      </c>
      <c r="B52" s="16">
        <v>0.5</v>
      </c>
      <c r="C52" s="17" t="s">
        <v>0</v>
      </c>
      <c r="D52" s="11" t="s">
        <v>38</v>
      </c>
      <c r="E52" s="11"/>
      <c r="F52" s="11"/>
      <c r="G52" s="11"/>
      <c r="H52" s="12"/>
      <c r="I52" s="5"/>
      <c r="K52" s="7" t="s">
        <v>13</v>
      </c>
      <c r="L52" s="16">
        <v>0.5</v>
      </c>
      <c r="M52" s="17" t="s">
        <v>0</v>
      </c>
      <c r="N52" s="11" t="s">
        <v>38</v>
      </c>
      <c r="O52" s="11"/>
      <c r="P52" s="11"/>
      <c r="Q52" s="11"/>
      <c r="R52" s="12"/>
      <c r="S52" s="5"/>
    </row>
    <row r="53" spans="1:19" ht="20.149999999999999" customHeight="1" x14ac:dyDescent="0.4">
      <c r="A53" s="7" t="s">
        <v>2</v>
      </c>
      <c r="B53" s="18">
        <v>5</v>
      </c>
      <c r="C53" s="17" t="s">
        <v>6</v>
      </c>
      <c r="D53" s="11" t="s">
        <v>25</v>
      </c>
      <c r="E53" s="11"/>
      <c r="F53" s="11"/>
      <c r="G53" s="11"/>
      <c r="H53" s="12"/>
      <c r="I53" s="5"/>
      <c r="K53" s="7" t="s">
        <v>11</v>
      </c>
      <c r="L53" s="18">
        <v>10</v>
      </c>
      <c r="M53" s="17" t="s">
        <v>6</v>
      </c>
      <c r="N53" s="11" t="s">
        <v>31</v>
      </c>
      <c r="O53" s="11"/>
      <c r="P53" s="11"/>
      <c r="Q53" s="11"/>
      <c r="R53" s="12"/>
      <c r="S53" s="5"/>
    </row>
    <row r="54" spans="1:19" ht="20.149999999999999" customHeight="1" x14ac:dyDescent="0.4">
      <c r="A54" s="7" t="s">
        <v>9</v>
      </c>
      <c r="B54" s="18">
        <v>20</v>
      </c>
      <c r="C54" s="17" t="s">
        <v>5</v>
      </c>
      <c r="D54" s="11" t="s">
        <v>26</v>
      </c>
      <c r="E54" s="11"/>
      <c r="F54" s="11"/>
      <c r="G54" s="11"/>
      <c r="H54" s="12"/>
      <c r="I54" s="5"/>
      <c r="K54" s="7" t="s">
        <v>9</v>
      </c>
      <c r="L54" s="18">
        <v>20</v>
      </c>
      <c r="M54" s="17" t="s">
        <v>5</v>
      </c>
      <c r="N54" s="11" t="s">
        <v>26</v>
      </c>
      <c r="O54" s="11"/>
      <c r="P54" s="11"/>
      <c r="Q54" s="11"/>
      <c r="R54" s="12"/>
      <c r="S54" s="5"/>
    </row>
    <row r="55" spans="1:19" ht="20.149999999999999" customHeight="1" x14ac:dyDescent="0.4">
      <c r="A55" s="7" t="s">
        <v>3</v>
      </c>
      <c r="B55" s="19">
        <v>-2000</v>
      </c>
      <c r="C55" s="17" t="s">
        <v>7</v>
      </c>
      <c r="D55" s="11" t="s">
        <v>27</v>
      </c>
      <c r="E55" s="11"/>
      <c r="F55" s="11"/>
      <c r="G55" s="11"/>
      <c r="H55" s="12"/>
      <c r="I55" s="5"/>
      <c r="K55" s="7" t="s">
        <v>3</v>
      </c>
      <c r="L55" s="19">
        <v>-2000</v>
      </c>
      <c r="M55" s="17" t="s">
        <v>7</v>
      </c>
      <c r="N55" s="11" t="s">
        <v>27</v>
      </c>
      <c r="O55" s="11"/>
      <c r="P55" s="11"/>
      <c r="Q55" s="11"/>
      <c r="R55" s="12"/>
      <c r="S55" s="5"/>
    </row>
    <row r="56" spans="1:19" ht="20.149999999999999" customHeight="1" x14ac:dyDescent="0.4">
      <c r="A56" s="7" t="s">
        <v>14</v>
      </c>
      <c r="B56" s="19">
        <v>400</v>
      </c>
      <c r="C56" s="17" t="s">
        <v>8</v>
      </c>
      <c r="D56" s="11" t="s">
        <v>28</v>
      </c>
      <c r="E56" s="11"/>
      <c r="F56" s="11"/>
      <c r="G56" s="11"/>
      <c r="H56" s="12"/>
      <c r="I56" s="5"/>
      <c r="K56" s="7" t="s">
        <v>14</v>
      </c>
      <c r="L56" s="19">
        <v>400</v>
      </c>
      <c r="M56" s="17" t="s">
        <v>8</v>
      </c>
      <c r="N56" s="11" t="s">
        <v>28</v>
      </c>
      <c r="O56" s="11"/>
      <c r="P56" s="11"/>
      <c r="Q56" s="11"/>
      <c r="R56" s="12"/>
      <c r="S56" s="5"/>
    </row>
    <row r="57" spans="1:19" ht="20.149999999999999" customHeight="1" x14ac:dyDescent="0.4">
      <c r="A57" s="7" t="s">
        <v>15</v>
      </c>
      <c r="B57" s="19">
        <v>100</v>
      </c>
      <c r="C57" s="17" t="s">
        <v>8</v>
      </c>
      <c r="D57" s="12" t="s">
        <v>28</v>
      </c>
      <c r="E57" s="12"/>
      <c r="F57" s="12"/>
      <c r="G57" s="12"/>
      <c r="H57" s="12"/>
      <c r="I57" s="5"/>
      <c r="K57" s="7" t="s">
        <v>15</v>
      </c>
      <c r="L57" s="19">
        <v>100</v>
      </c>
      <c r="M57" s="17" t="s">
        <v>8</v>
      </c>
      <c r="N57" s="12" t="s">
        <v>28</v>
      </c>
      <c r="O57" s="12"/>
      <c r="P57" s="12"/>
      <c r="Q57" s="12"/>
      <c r="R57" s="12"/>
      <c r="S57" s="5"/>
    </row>
    <row r="58" spans="1:19" ht="20.149999999999999" customHeight="1" thickBot="1" x14ac:dyDescent="0.45">
      <c r="A58" s="20" t="s">
        <v>21</v>
      </c>
      <c r="B58" s="21">
        <f>As_RSd(B51,B52,B53/100,B54*1000,B55,B56,B57)*10000</f>
        <v>8.5114544793351001</v>
      </c>
      <c r="C58" s="22" t="s">
        <v>16</v>
      </c>
      <c r="D58" s="23" t="s">
        <v>57</v>
      </c>
      <c r="E58" s="23"/>
      <c r="F58" s="23"/>
      <c r="G58" s="23"/>
      <c r="H58" s="23"/>
      <c r="I58" s="24"/>
      <c r="K58" s="20" t="s">
        <v>21</v>
      </c>
      <c r="L58" s="21">
        <f>As_RHd(L51,L52,L53/100,L54*1000,L55,L56,L57)*10000</f>
        <v>16.549711198660152</v>
      </c>
      <c r="M58" s="22" t="s">
        <v>16</v>
      </c>
      <c r="N58" s="23" t="s">
        <v>57</v>
      </c>
      <c r="O58" s="23"/>
      <c r="P58" s="23"/>
      <c r="Q58" s="23"/>
      <c r="R58" s="23"/>
      <c r="S58" s="24"/>
    </row>
    <row r="59" spans="1:19" ht="30" customHeight="1" thickBot="1" x14ac:dyDescent="0.45"/>
    <row r="60" spans="1:19" ht="20.149999999999999" customHeight="1" x14ac:dyDescent="0.4">
      <c r="A60" s="29" t="s">
        <v>45</v>
      </c>
      <c r="B60" s="30"/>
      <c r="C60" s="30"/>
      <c r="D60" s="30"/>
      <c r="E60" s="30"/>
      <c r="F60" s="30"/>
      <c r="G60" s="30"/>
      <c r="H60" s="30"/>
      <c r="I60" s="31"/>
      <c r="K60" s="29" t="s">
        <v>54</v>
      </c>
      <c r="L60" s="30"/>
      <c r="M60" s="30"/>
      <c r="N60" s="30"/>
      <c r="O60" s="30"/>
      <c r="P60" s="30"/>
      <c r="Q60" s="30"/>
      <c r="R60" s="30"/>
      <c r="S60" s="31"/>
    </row>
    <row r="61" spans="1:19" ht="20.149999999999999" customHeight="1" x14ac:dyDescent="0.4">
      <c r="A61" s="2"/>
      <c r="B61" s="9"/>
      <c r="C61" s="9"/>
      <c r="D61" s="9"/>
      <c r="E61" s="9"/>
      <c r="F61" s="9"/>
      <c r="G61" s="9"/>
      <c r="I61" s="3"/>
      <c r="K61" s="2"/>
      <c r="L61" s="9"/>
      <c r="M61" s="9"/>
      <c r="N61" s="9"/>
      <c r="O61" s="9"/>
      <c r="P61" s="9"/>
      <c r="Q61" s="9"/>
      <c r="S61" s="3"/>
    </row>
    <row r="62" spans="1:19" ht="20.149999999999999" customHeight="1" x14ac:dyDescent="0.4">
      <c r="A62" s="32" t="s">
        <v>70</v>
      </c>
      <c r="B62" s="33"/>
      <c r="C62" s="33"/>
      <c r="D62" s="33"/>
      <c r="E62" s="33"/>
      <c r="F62" s="33"/>
      <c r="G62" s="33"/>
      <c r="H62" s="33"/>
      <c r="I62" s="34"/>
      <c r="K62" s="32" t="s">
        <v>71</v>
      </c>
      <c r="L62" s="33"/>
      <c r="M62" s="33"/>
      <c r="N62" s="33"/>
      <c r="O62" s="33"/>
      <c r="P62" s="33"/>
      <c r="Q62" s="33"/>
      <c r="R62" s="33"/>
      <c r="S62" s="34"/>
    </row>
    <row r="63" spans="1:19" ht="20.149999999999999" customHeight="1" x14ac:dyDescent="0.4">
      <c r="A63" s="7" t="s">
        <v>46</v>
      </c>
      <c r="B63" s="10">
        <v>5</v>
      </c>
      <c r="C63" s="11"/>
      <c r="D63" s="11" t="s">
        <v>86</v>
      </c>
      <c r="E63" s="11"/>
      <c r="F63" s="11"/>
      <c r="G63" s="11"/>
      <c r="H63" s="12"/>
      <c r="I63" s="5"/>
      <c r="K63" s="7" t="s">
        <v>20</v>
      </c>
      <c r="L63" s="10">
        <v>0.2</v>
      </c>
      <c r="M63" s="11"/>
      <c r="N63" s="11" t="s">
        <v>22</v>
      </c>
      <c r="O63" s="11"/>
      <c r="P63" s="11"/>
      <c r="Q63" s="11"/>
      <c r="R63" s="12"/>
      <c r="S63" s="5"/>
    </row>
    <row r="64" spans="1:19" ht="20.149999999999999" customHeight="1" x14ac:dyDescent="0.4">
      <c r="A64" s="7" t="s">
        <v>47</v>
      </c>
      <c r="B64" s="10">
        <v>0.2</v>
      </c>
      <c r="C64" s="11"/>
      <c r="D64" s="11" t="s">
        <v>87</v>
      </c>
      <c r="E64" s="11"/>
      <c r="F64" s="11"/>
      <c r="G64" s="11"/>
      <c r="H64" s="12"/>
      <c r="I64" s="5"/>
      <c r="K64" s="8" t="s">
        <v>10</v>
      </c>
      <c r="L64" s="13">
        <f>w_R(L63)</f>
        <v>0.22617458708892524</v>
      </c>
      <c r="M64" s="14"/>
      <c r="N64" s="14" t="s">
        <v>23</v>
      </c>
      <c r="O64" s="14"/>
      <c r="P64" s="14"/>
      <c r="Q64" s="14"/>
      <c r="R64" s="15"/>
      <c r="S64" s="6"/>
    </row>
    <row r="65" spans="1:19" ht="20.149999999999999" customHeight="1" x14ac:dyDescent="0.4">
      <c r="A65" s="7" t="s">
        <v>20</v>
      </c>
      <c r="B65" s="10">
        <v>0.1</v>
      </c>
      <c r="C65" s="11"/>
      <c r="D65" s="11" t="s">
        <v>22</v>
      </c>
      <c r="E65" s="11"/>
      <c r="F65" s="11"/>
      <c r="G65" s="11"/>
      <c r="H65" s="12"/>
      <c r="I65" s="5"/>
      <c r="K65" s="4"/>
      <c r="L65" s="9"/>
      <c r="M65" s="9"/>
      <c r="N65" s="9"/>
      <c r="O65" s="9"/>
      <c r="P65" s="9"/>
      <c r="Q65" s="9"/>
      <c r="S65" s="3"/>
    </row>
    <row r="66" spans="1:19" ht="20.149999999999999" customHeight="1" x14ac:dyDescent="0.4">
      <c r="A66" s="8" t="s">
        <v>10</v>
      </c>
      <c r="B66" s="13">
        <f>w_T(B63,B64,B65)</f>
        <v>0.10576213624168722</v>
      </c>
      <c r="C66" s="14"/>
      <c r="D66" s="14" t="s">
        <v>23</v>
      </c>
      <c r="E66" s="14"/>
      <c r="F66" s="14"/>
      <c r="G66" s="14"/>
      <c r="H66" s="15"/>
      <c r="I66" s="6"/>
      <c r="K66" s="26"/>
      <c r="S66" s="3"/>
    </row>
    <row r="67" spans="1:19" ht="20.149999999999999" customHeight="1" x14ac:dyDescent="0.4">
      <c r="A67" s="4"/>
      <c r="B67" s="9"/>
      <c r="C67" s="9"/>
      <c r="D67" s="9"/>
      <c r="E67" s="9"/>
      <c r="F67" s="9"/>
      <c r="G67" s="9"/>
      <c r="I67" s="3"/>
      <c r="K67" s="26"/>
      <c r="S67" s="3"/>
    </row>
    <row r="68" spans="1:19" ht="20.149999999999999" customHeight="1" x14ac:dyDescent="0.4">
      <c r="A68" s="32" t="s">
        <v>72</v>
      </c>
      <c r="B68" s="33"/>
      <c r="C68" s="33"/>
      <c r="D68" s="33"/>
      <c r="E68" s="33"/>
      <c r="F68" s="33"/>
      <c r="G68" s="33"/>
      <c r="H68" s="33"/>
      <c r="I68" s="34"/>
      <c r="K68" s="32" t="s">
        <v>73</v>
      </c>
      <c r="L68" s="33"/>
      <c r="M68" s="33"/>
      <c r="N68" s="33"/>
      <c r="O68" s="33"/>
      <c r="P68" s="33"/>
      <c r="Q68" s="33"/>
      <c r="R68" s="33"/>
      <c r="S68" s="34"/>
    </row>
    <row r="69" spans="1:19" ht="19.75" customHeight="1" x14ac:dyDescent="0.4">
      <c r="A69" s="8" t="s">
        <v>48</v>
      </c>
      <c r="B69" s="13">
        <f>x_T(B63,B64,B65)</f>
        <v>0.13094200616008772</v>
      </c>
      <c r="C69" s="14"/>
      <c r="D69" s="14" t="s">
        <v>92</v>
      </c>
      <c r="E69" s="14"/>
      <c r="F69" s="14"/>
      <c r="G69" s="14"/>
      <c r="H69" s="15"/>
      <c r="I69" s="6"/>
      <c r="K69" s="8" t="s">
        <v>48</v>
      </c>
      <c r="L69" s="13">
        <f>x_R(L63)</f>
        <v>0.27986868498785994</v>
      </c>
      <c r="M69" s="14"/>
      <c r="N69" s="14" t="s">
        <v>92</v>
      </c>
      <c r="O69" s="14"/>
      <c r="P69" s="14"/>
      <c r="Q69" s="14"/>
      <c r="R69" s="15"/>
      <c r="S69" s="6"/>
    </row>
    <row r="70" spans="1:19" ht="20.149999999999999" customHeight="1" x14ac:dyDescent="0.4">
      <c r="A70" s="4"/>
      <c r="B70" s="9"/>
      <c r="C70" s="9"/>
      <c r="D70" s="9"/>
      <c r="E70" s="9"/>
      <c r="F70" s="9"/>
      <c r="G70" s="9"/>
      <c r="I70" s="3"/>
      <c r="K70" s="26"/>
      <c r="S70" s="3"/>
    </row>
    <row r="71" spans="1:19" ht="20.149999999999999" customHeight="1" x14ac:dyDescent="0.4">
      <c r="A71" s="32" t="s">
        <v>74</v>
      </c>
      <c r="B71" s="33"/>
      <c r="C71" s="33"/>
      <c r="D71" s="33"/>
      <c r="E71" s="33"/>
      <c r="F71" s="33"/>
      <c r="G71" s="33"/>
      <c r="H71" s="33"/>
      <c r="I71" s="34"/>
      <c r="K71" s="26"/>
      <c r="S71" s="3"/>
    </row>
    <row r="72" spans="1:19" ht="20.149999999999999" customHeight="1" x14ac:dyDescent="0.4">
      <c r="A72" s="7" t="s">
        <v>49</v>
      </c>
      <c r="B72" s="16">
        <v>1</v>
      </c>
      <c r="C72" s="17" t="s">
        <v>0</v>
      </c>
      <c r="D72" s="11" t="s">
        <v>52</v>
      </c>
      <c r="E72" s="11"/>
      <c r="F72" s="11"/>
      <c r="G72" s="11"/>
      <c r="H72" s="12"/>
      <c r="I72" s="5"/>
      <c r="K72" s="26"/>
      <c r="S72" s="3"/>
    </row>
    <row r="73" spans="1:19" ht="20.149999999999999" customHeight="1" x14ac:dyDescent="0.4">
      <c r="A73" s="7" t="s">
        <v>50</v>
      </c>
      <c r="B73" s="16">
        <v>0.5</v>
      </c>
      <c r="C73" s="17" t="s">
        <v>0</v>
      </c>
      <c r="D73" s="11" t="s">
        <v>53</v>
      </c>
      <c r="E73" s="11"/>
      <c r="F73" s="11"/>
      <c r="G73" s="11"/>
      <c r="H73" s="12"/>
      <c r="I73" s="5"/>
      <c r="K73" s="32" t="s">
        <v>75</v>
      </c>
      <c r="L73" s="33"/>
      <c r="M73" s="33"/>
      <c r="N73" s="33"/>
      <c r="O73" s="33"/>
      <c r="P73" s="33"/>
      <c r="Q73" s="33"/>
      <c r="R73" s="33"/>
      <c r="S73" s="34"/>
    </row>
    <row r="74" spans="1:19" ht="20.149999999999999" customHeight="1" x14ac:dyDescent="0.4">
      <c r="A74" s="7" t="s">
        <v>13</v>
      </c>
      <c r="B74" s="16">
        <v>0.7</v>
      </c>
      <c r="C74" s="17" t="s">
        <v>0</v>
      </c>
      <c r="D74" s="11" t="s">
        <v>38</v>
      </c>
      <c r="E74" s="11"/>
      <c r="F74" s="11"/>
      <c r="G74" s="11"/>
      <c r="H74" s="12"/>
      <c r="I74" s="5"/>
      <c r="K74" s="7" t="s">
        <v>12</v>
      </c>
      <c r="L74" s="16">
        <v>0.25</v>
      </c>
      <c r="M74" s="17" t="s">
        <v>0</v>
      </c>
      <c r="N74" s="11" t="s">
        <v>90</v>
      </c>
      <c r="O74" s="11"/>
      <c r="P74" s="11"/>
      <c r="Q74" s="11"/>
      <c r="R74" s="12"/>
      <c r="S74" s="5"/>
    </row>
    <row r="75" spans="1:19" ht="20.149999999999999" customHeight="1" x14ac:dyDescent="0.4">
      <c r="A75" s="7" t="s">
        <v>51</v>
      </c>
      <c r="B75" s="16">
        <v>0.15</v>
      </c>
      <c r="C75" s="17" t="s">
        <v>0</v>
      </c>
      <c r="D75" s="11" t="s">
        <v>58</v>
      </c>
      <c r="E75" s="11"/>
      <c r="F75" s="11"/>
      <c r="G75" s="11"/>
      <c r="H75" s="12"/>
      <c r="I75" s="5"/>
      <c r="K75" s="7" t="s">
        <v>13</v>
      </c>
      <c r="L75" s="16">
        <v>0.5</v>
      </c>
      <c r="M75" s="17" t="s">
        <v>0</v>
      </c>
      <c r="N75" s="11" t="s">
        <v>91</v>
      </c>
      <c r="O75" s="11"/>
      <c r="P75" s="11"/>
      <c r="Q75" s="11"/>
      <c r="R75" s="12"/>
      <c r="S75" s="5"/>
    </row>
    <row r="76" spans="1:19" ht="20.149999999999999" customHeight="1" x14ac:dyDescent="0.4">
      <c r="A76" s="7" t="s">
        <v>2</v>
      </c>
      <c r="B76" s="18">
        <v>5</v>
      </c>
      <c r="C76" s="17" t="s">
        <v>6</v>
      </c>
      <c r="D76" s="11" t="s">
        <v>25</v>
      </c>
      <c r="E76" s="11"/>
      <c r="F76" s="11"/>
      <c r="G76" s="11"/>
      <c r="H76" s="12"/>
      <c r="I76" s="5"/>
      <c r="K76" s="7" t="s">
        <v>2</v>
      </c>
      <c r="L76" s="18">
        <v>5</v>
      </c>
      <c r="M76" s="17" t="s">
        <v>6</v>
      </c>
      <c r="N76" s="11" t="s">
        <v>25</v>
      </c>
      <c r="O76" s="11"/>
      <c r="P76" s="11"/>
      <c r="Q76" s="11"/>
      <c r="R76" s="12"/>
      <c r="S76" s="5"/>
    </row>
    <row r="77" spans="1:19" ht="20.149999999999999" customHeight="1" x14ac:dyDescent="0.4">
      <c r="A77" s="7" t="s">
        <v>9</v>
      </c>
      <c r="B77" s="18">
        <v>20</v>
      </c>
      <c r="C77" s="17" t="s">
        <v>5</v>
      </c>
      <c r="D77" s="11" t="s">
        <v>26</v>
      </c>
      <c r="E77" s="11"/>
      <c r="F77" s="11"/>
      <c r="G77" s="11"/>
      <c r="H77" s="12"/>
      <c r="I77" s="5"/>
      <c r="K77" s="7" t="s">
        <v>9</v>
      </c>
      <c r="L77" s="18">
        <v>20</v>
      </c>
      <c r="M77" s="17" t="s">
        <v>5</v>
      </c>
      <c r="N77" s="11" t="s">
        <v>26</v>
      </c>
      <c r="O77" s="11"/>
      <c r="P77" s="11"/>
      <c r="Q77" s="11"/>
      <c r="R77" s="12"/>
      <c r="S77" s="5"/>
    </row>
    <row r="78" spans="1:19" ht="20.149999999999999" customHeight="1" x14ac:dyDescent="0.4">
      <c r="A78" s="7" t="s">
        <v>4</v>
      </c>
      <c r="B78" s="19">
        <v>200</v>
      </c>
      <c r="C78" s="17" t="s">
        <v>8</v>
      </c>
      <c r="D78" s="11" t="s">
        <v>28</v>
      </c>
      <c r="E78" s="11"/>
      <c r="F78" s="11"/>
      <c r="G78" s="11"/>
      <c r="H78" s="12"/>
      <c r="I78" s="5"/>
      <c r="K78" s="7" t="s">
        <v>4</v>
      </c>
      <c r="L78" s="19">
        <v>100</v>
      </c>
      <c r="M78" s="17" t="s">
        <v>8</v>
      </c>
      <c r="N78" s="11" t="s">
        <v>28</v>
      </c>
      <c r="O78" s="11"/>
      <c r="P78" s="11"/>
      <c r="Q78" s="11"/>
      <c r="R78" s="12"/>
      <c r="S78" s="5"/>
    </row>
    <row r="79" spans="1:19" ht="20.149999999999999" customHeight="1" x14ac:dyDescent="0.4">
      <c r="A79" s="7" t="s">
        <v>3</v>
      </c>
      <c r="B79" s="19">
        <v>0</v>
      </c>
      <c r="C79" s="17" t="s">
        <v>7</v>
      </c>
      <c r="D79" s="12" t="s">
        <v>27</v>
      </c>
      <c r="E79" s="12"/>
      <c r="F79" s="12"/>
      <c r="G79" s="12"/>
      <c r="H79" s="12"/>
      <c r="I79" s="5"/>
      <c r="K79" s="7" t="s">
        <v>3</v>
      </c>
      <c r="L79" s="19">
        <v>0</v>
      </c>
      <c r="M79" s="17" t="s">
        <v>7</v>
      </c>
      <c r="N79" s="12" t="s">
        <v>27</v>
      </c>
      <c r="O79" s="12"/>
      <c r="P79" s="12"/>
      <c r="Q79" s="12"/>
      <c r="R79" s="12"/>
      <c r="S79" s="5"/>
    </row>
    <row r="80" spans="1:19" ht="20.149999999999999" customHeight="1" thickBot="1" x14ac:dyDescent="0.45">
      <c r="A80" s="20" t="s">
        <v>21</v>
      </c>
      <c r="B80" s="21">
        <f>As_T(B72,B73,B74,B75,B76/100,B77*1000,B78,B79)*10000</f>
        <v>7.1520221905333106</v>
      </c>
      <c r="C80" s="22" t="s">
        <v>16</v>
      </c>
      <c r="D80" s="23" t="s">
        <v>57</v>
      </c>
      <c r="E80" s="23"/>
      <c r="F80" s="23"/>
      <c r="G80" s="23"/>
      <c r="H80" s="23"/>
      <c r="I80" s="24"/>
      <c r="K80" s="20" t="s">
        <v>21</v>
      </c>
      <c r="L80" s="21">
        <f>As_R(L74,L75,L76/100,L77*1000,L78,L79)*10000</f>
        <v>5.4006511440498342</v>
      </c>
      <c r="M80" s="22" t="s">
        <v>16</v>
      </c>
      <c r="N80" s="23" t="s">
        <v>57</v>
      </c>
      <c r="O80" s="23"/>
      <c r="P80" s="23"/>
      <c r="Q80" s="23"/>
      <c r="R80" s="23"/>
      <c r="S80" s="24"/>
    </row>
  </sheetData>
  <mergeCells count="28">
    <mergeCell ref="K73:S73"/>
    <mergeCell ref="A62:I62"/>
    <mergeCell ref="A60:I60"/>
    <mergeCell ref="A71:I71"/>
    <mergeCell ref="A68:I68"/>
    <mergeCell ref="K60:S60"/>
    <mergeCell ref="K62:S62"/>
    <mergeCell ref="K68:S68"/>
    <mergeCell ref="A40:I40"/>
    <mergeCell ref="K40:S40"/>
    <mergeCell ref="A42:I42"/>
    <mergeCell ref="K42:S42"/>
    <mergeCell ref="A50:I50"/>
    <mergeCell ref="K50:S50"/>
    <mergeCell ref="A12:I12"/>
    <mergeCell ref="K12:S12"/>
    <mergeCell ref="A20:I20"/>
    <mergeCell ref="A30:I30"/>
    <mergeCell ref="K20:S20"/>
    <mergeCell ref="K22:S22"/>
    <mergeCell ref="K30:S30"/>
    <mergeCell ref="A22:I22"/>
    <mergeCell ref="A4:I4"/>
    <mergeCell ref="K4:S4"/>
    <mergeCell ref="A6:I6"/>
    <mergeCell ref="K6:S6"/>
    <mergeCell ref="A1:R1"/>
    <mergeCell ref="A2:R2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Aristotelis</dc:creator>
  <cp:lastModifiedBy>Vassilis Papanikolaou</cp:lastModifiedBy>
  <dcterms:created xsi:type="dcterms:W3CDTF">2020-01-17T12:35:59Z</dcterms:created>
  <dcterms:modified xsi:type="dcterms:W3CDTF">2026-10-18T12:10:16Z</dcterms:modified>
</cp:coreProperties>
</file>